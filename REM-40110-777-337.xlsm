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\Department\Archive\1. Projects\کنترل درخواست های کالا\REM-40110-777-337\"/>
    </mc:Choice>
  </mc:AlternateContent>
  <bookViews>
    <workbookView xWindow="0" yWindow="0" windowWidth="23040" windowHeight="9390" tabRatio="586"/>
  </bookViews>
  <sheets>
    <sheet name="REM-40110-777-337" sheetId="4" r:id="rId1"/>
  </sheets>
  <definedNames>
    <definedName name="_xlnm.Print_Area" localSheetId="0">'REM-40110-777-337'!$B$2:$S$20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4" i="4" l="1"/>
  <c r="H6" i="4" l="1"/>
  <c r="L9" i="4" l="1"/>
  <c r="L10" i="4"/>
  <c r="L11" i="4"/>
  <c r="L12" i="4"/>
  <c r="L13" i="4"/>
  <c r="L8" i="4"/>
  <c r="AA9" i="4" l="1"/>
  <c r="W4" i="4"/>
</calcChain>
</file>

<file path=xl/sharedStrings.xml><?xml version="1.0" encoding="utf-8"?>
<sst xmlns="http://schemas.openxmlformats.org/spreadsheetml/2006/main" count="60" uniqueCount="56">
  <si>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</si>
  <si>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</si>
  <si>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</si>
  <si>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</si>
  <si>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</si>
  <si>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</si>
  <si>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</si>
  <si>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</si>
  <si>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</si>
  <si>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</si>
  <si>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</si>
  <si>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</si>
  <si>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</si>
  <si>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</si>
  <si>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</si>
  <si>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</si>
  <si>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</si>
  <si>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</si>
  <si>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</si>
  <si>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</si>
  <si>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</si>
  <si>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</si>
  <si>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</si>
  <si>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</si>
  <si>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</si>
  <si>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</si>
  <si>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</si>
  <si>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</si>
  <si>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</si>
  <si>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</si>
  <si>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</si>
  <si>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</si>
  <si>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</si>
  <si>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</si>
  <si>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</si>
  <si>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مدیر / سرپرست کارگاه/سایت:                                                            تایید:                    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</si>
  <si>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</si>
  <si>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</si>
  <si>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</si>
  <si>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</si>
  <si>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</si>
  <si>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</si>
  <si>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</si>
  <si>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</si>
  <si>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</si>
  <si>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</si>
  <si>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</si>
  <si>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</si>
  <si>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</si>
  <si>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</si>
  <si>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r>
      <t xml:space="preserve">برق:                                       مکانیک:                               بهره برداری:                          آزمایشگاه:    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    مدیرتصفیه خانه:</t>
    </r>
  </si>
  <si>
    <t>REM-401XX-XXX-XXX-rev05</t>
  </si>
  <si>
    <t>1401/10/14</t>
  </si>
  <si>
    <t>لجن برگشتی سایت 2 (کار اضافه)</t>
  </si>
  <si>
    <t xml:space="preserve">تایمر ستاره مثلث </t>
  </si>
  <si>
    <t>1401/10/20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</si>
</sst>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" fontId="8" fillId="0" borderId="4" xfId="0" applyNumberFormat="1" applyFont="1" applyBorder="1" applyAlignment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0" borderId="2" xfId="0" applyNumberFormat="1" applyFont="1" applyBorder="1" applyAlignment="1" applyProtection="1">
      <alignment horizontal="center" vertical="center" readingOrder="2"/>
      <protection locked="0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49" fontId="8" fillId="0" borderId="2" xfId="0" applyNumberFormat="1" applyFont="1" applyBorder="1" applyAlignment="1" applyProtection="1">
      <alignment horizontal="center" vertical="center" readingOrder="2"/>
      <protection locked="0"/>
    </xf>
    <xf numFmtId="49" fontId="8" fillId="0" borderId="3" xfId="0" applyNumberFormat="1" applyFont="1" applyBorder="1" applyAlignment="1" applyProtection="1">
      <alignment horizontal="center" vertical="center" readingOrder="2"/>
      <protection locked="0"/>
    </xf>
    <xf numFmtId="49" fontId="8" fillId="0" borderId="4" xfId="0" applyNumberFormat="1" applyFont="1" applyBorder="1" applyAlignment="1" applyProtection="1">
      <alignment horizontal="center" vertical="center" readingOrder="2"/>
      <protection locked="0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0" borderId="6" xfId="0" applyNumberFormat="1" applyFont="1" applyBorder="1" applyAlignment="1" applyProtection="1">
      <alignment horizontal="center" vertical="center" readingOrder="2"/>
      <protection locked="0"/>
    </xf>
    <xf numFmtId="49" fontId="8" fillId="0" borderId="5" xfId="0" applyNumberFormat="1" applyFont="1" applyBorder="1" applyAlignment="1" applyProtection="1">
      <alignment horizontal="center" vertical="center" readingOrder="2"/>
      <protection locked="0"/>
    </xf>
    <xf numFmtId="0" fontId="3" fillId="0" borderId="10" xfId="0" applyFont="1" applyBorder="1" applyAlignment="1">
      <alignment horizontal="right" vertical="top" wrapText="1" readingOrder="2"/>
    </xf>
    <xf numFmtId="0" fontId="7" fillId="0" borderId="10" xfId="0" applyFont="1" applyBorder="1" applyAlignment="1">
      <alignment horizontal="right" vertical="top" wrapText="1" readingOrder="2"/>
    </xf>
    <xf numFmtId="0" fontId="7" fillId="0" borderId="9" xfId="0" applyFont="1" applyBorder="1" applyAlignment="1">
      <alignment horizontal="right" vertical="top" wrapText="1" readingOrder="2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247650</xdr:colOff>
          <xdr:row>15</xdr:row>
          <xdr:rowOff>57150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95250</xdr:rowOff>
        </xdr:from>
        <xdr:to>
          <xdr:col>9</xdr:col>
          <xdr:colOff>257175</xdr:colOff>
          <xdr:row>16</xdr:row>
          <xdr:rowOff>95250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171450</xdr:rowOff>
        </xdr:from>
        <xdr:to>
          <xdr:col>14</xdr:col>
          <xdr:colOff>285750</xdr:colOff>
          <xdr:row>15</xdr:row>
          <xdr:rowOff>133350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171450</xdr:rowOff>
        </xdr:from>
        <xdr:to>
          <xdr:col>15</xdr:col>
          <xdr:colOff>323850</xdr:colOff>
          <xdr:row>15</xdr:row>
          <xdr:rowOff>66675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190500</xdr:rowOff>
        </xdr:from>
        <xdr:to>
          <xdr:col>16</xdr:col>
          <xdr:colOff>285750</xdr:colOff>
          <xdr:row>15</xdr:row>
          <xdr:rowOff>95250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180975</xdr:rowOff>
        </xdr:from>
        <xdr:to>
          <xdr:col>17</xdr:col>
          <xdr:colOff>295275</xdr:colOff>
          <xdr:row>15</xdr:row>
          <xdr:rowOff>76200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171450</xdr:rowOff>
        </xdr:from>
        <xdr:to>
          <xdr:col>18</xdr:col>
          <xdr:colOff>304800</xdr:colOff>
          <xdr:row>15</xdr:row>
          <xdr:rowOff>133350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247650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247650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285750</xdr:rowOff>
        </xdr:from>
        <xdr:to>
          <xdr:col>3</xdr:col>
          <xdr:colOff>438150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133350</xdr:rowOff>
        </xdr:from>
        <xdr:to>
          <xdr:col>3</xdr:col>
          <xdr:colOff>419100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16</xdr:row>
          <xdr:rowOff>180975</xdr:rowOff>
        </xdr:from>
        <xdr:to>
          <xdr:col>6</xdr:col>
          <xdr:colOff>819150</xdr:colOff>
          <xdr:row>16</xdr:row>
          <xdr:rowOff>323850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876300</xdr:rowOff>
        </xdr:from>
        <xdr:to>
          <xdr:col>3</xdr:col>
          <xdr:colOff>409575</xdr:colOff>
          <xdr:row>16</xdr:row>
          <xdr:rowOff>1028700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685800</xdr:rowOff>
        </xdr:from>
        <xdr:to>
          <xdr:col>3</xdr:col>
          <xdr:colOff>419100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400050</xdr:rowOff>
        </xdr:from>
        <xdr:to>
          <xdr:col>3</xdr:col>
          <xdr:colOff>419100</xdr:colOff>
          <xdr:row>16</xdr:row>
          <xdr:rowOff>590550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1"/>
  <sheetViews>
    <sheetView showGridLines="0" showRowColHeaders="0" rightToLeft="1" tabSelected="1" topLeftCell="A10" zoomScaleNormal="100" zoomScalePageLayoutView="84" workbookViewId="0">
      <selection activeCell="Q6" sqref="Q6"/>
    </sheetView>
  </sheetViews>
  <sheetFormatPr defaultColWidth="8.28515625" defaultRowHeight="18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9" width="8.28515625" style="1" hidden="1" customWidth="1"/>
    <col min="50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7" ht="12" customHeight="1"/>
    <row r="2" spans="2:47" ht="15.75" customHeight="1">
      <c r="B2" s="65" t="s">
        <v>17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7"/>
    </row>
    <row r="3" spans="2:47" ht="13.5" customHeight="1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</row>
    <row r="4" spans="2:47" ht="17.25" customHeight="1">
      <c r="B4" s="71" t="s">
        <v>7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3"/>
      <c r="W4" s="1" t="str">
        <f>S6&amp;R6&amp;Q6</f>
        <v>40110337</v>
      </c>
    </row>
    <row r="5" spans="2:47" ht="9" customHeight="1">
      <c r="B5" s="74"/>
      <c r="C5" s="75"/>
      <c r="D5" s="75"/>
      <c r="E5" s="75"/>
      <c r="F5" s="75"/>
      <c r="G5" s="72"/>
      <c r="H5" s="72"/>
      <c r="I5" s="72"/>
      <c r="J5" s="72"/>
      <c r="K5" s="72"/>
      <c r="L5" s="72"/>
      <c r="M5" s="75"/>
      <c r="N5" s="75"/>
      <c r="O5" s="75"/>
      <c r="P5" s="75"/>
      <c r="Q5" s="75"/>
      <c r="R5" s="75"/>
      <c r="S5" s="76"/>
      <c r="AS5" s="3" t="s">
        <v>37</v>
      </c>
    </row>
    <row r="6" spans="2:47" s="3" customFormat="1" ht="32.25" customHeight="1">
      <c r="B6" s="41" t="s">
        <v>11</v>
      </c>
      <c r="C6" s="42"/>
      <c r="D6" s="25" t="s">
        <v>21</v>
      </c>
      <c r="E6" s="42" t="s">
        <v>4</v>
      </c>
      <c r="F6" s="42"/>
      <c r="G6" s="26" t="s">
        <v>30</v>
      </c>
      <c r="H6" s="20">
        <f>IF(G6=W7,770,IF(G6=W8,880,IF(G6=W9,777,IF(G6=W10,667,IF(G6=W11,666,IF(G6=W12,110,IF(G6=W13,210,)))))))</f>
        <v>777</v>
      </c>
      <c r="I6" s="77" t="s">
        <v>5</v>
      </c>
      <c r="J6" s="78"/>
      <c r="K6" s="78"/>
      <c r="L6" s="78"/>
      <c r="M6" s="78"/>
      <c r="N6" s="36" t="s">
        <v>52</v>
      </c>
      <c r="O6" s="79" t="s">
        <v>27</v>
      </c>
      <c r="P6" s="80"/>
      <c r="Q6" s="27">
        <v>337</v>
      </c>
      <c r="R6" s="28">
        <v>10</v>
      </c>
      <c r="S6" s="29">
        <v>401</v>
      </c>
      <c r="V6" s="13"/>
      <c r="W6" s="13"/>
      <c r="X6" s="40"/>
      <c r="Y6" s="40"/>
      <c r="Z6" s="40"/>
      <c r="AA6" s="4"/>
      <c r="AS6" s="3" t="s">
        <v>38</v>
      </c>
    </row>
    <row r="7" spans="2:47" s="3" customFormat="1" ht="29.25" customHeight="1">
      <c r="B7" s="12" t="s">
        <v>0</v>
      </c>
      <c r="C7" s="41" t="s">
        <v>3</v>
      </c>
      <c r="D7" s="42"/>
      <c r="E7" s="42"/>
      <c r="F7" s="42"/>
      <c r="G7" s="43"/>
      <c r="H7" s="44"/>
      <c r="I7" s="45" t="s">
        <v>10</v>
      </c>
      <c r="J7" s="46"/>
      <c r="K7" s="34" t="s">
        <v>46</v>
      </c>
      <c r="L7" s="34" t="s">
        <v>47</v>
      </c>
      <c r="M7" s="7" t="s">
        <v>2</v>
      </c>
      <c r="N7" s="16" t="s">
        <v>1</v>
      </c>
      <c r="O7" s="47" t="s">
        <v>12</v>
      </c>
      <c r="P7" s="47"/>
      <c r="Q7" s="47"/>
      <c r="R7" s="47"/>
      <c r="S7" s="48"/>
      <c r="V7" s="13" t="s">
        <v>21</v>
      </c>
      <c r="W7" s="13" t="s">
        <v>18</v>
      </c>
      <c r="X7" s="30" t="b">
        <v>1</v>
      </c>
      <c r="Y7" s="30"/>
      <c r="Z7" s="30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1" t="s">
        <v>39</v>
      </c>
    </row>
    <row r="8" spans="2:47" ht="36" customHeight="1">
      <c r="B8" s="5">
        <v>1</v>
      </c>
      <c r="C8" s="51" t="s">
        <v>54</v>
      </c>
      <c r="D8" s="52"/>
      <c r="E8" s="52"/>
      <c r="F8" s="52"/>
      <c r="G8" s="52"/>
      <c r="H8" s="53"/>
      <c r="I8" s="49">
        <v>4</v>
      </c>
      <c r="J8" s="50"/>
      <c r="K8" s="35"/>
      <c r="L8" s="38">
        <f>I8-K8</f>
        <v>4</v>
      </c>
      <c r="M8" s="23" t="s">
        <v>38</v>
      </c>
      <c r="N8" s="24" t="s">
        <v>53</v>
      </c>
      <c r="O8" s="89" t="s">
        <v>14</v>
      </c>
      <c r="P8" s="89" t="s">
        <v>13</v>
      </c>
      <c r="Q8" s="89" t="s">
        <v>24</v>
      </c>
      <c r="R8" s="89" t="s">
        <v>15</v>
      </c>
      <c r="S8" s="89" t="s">
        <v>16</v>
      </c>
      <c r="V8" s="2" t="s">
        <v>22</v>
      </c>
      <c r="W8" s="2" t="s">
        <v>19</v>
      </c>
      <c r="X8" s="30" t="b">
        <v>0</v>
      </c>
      <c r="Y8" s="30"/>
      <c r="Z8" s="30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1" t="s">
        <v>40</v>
      </c>
    </row>
    <row r="9" spans="2:47" ht="33.75" customHeight="1">
      <c r="B9" s="5">
        <v>2</v>
      </c>
      <c r="C9" s="51"/>
      <c r="D9" s="52"/>
      <c r="E9" s="52"/>
      <c r="F9" s="52"/>
      <c r="G9" s="52"/>
      <c r="H9" s="53"/>
      <c r="I9" s="49"/>
      <c r="J9" s="50"/>
      <c r="K9" s="35"/>
      <c r="L9" s="38">
        <f t="shared" ref="L9:L13" si="0">I9-K9</f>
        <v>0</v>
      </c>
      <c r="M9" s="23"/>
      <c r="N9" s="24"/>
      <c r="O9" s="90"/>
      <c r="P9" s="90"/>
      <c r="Q9" s="90"/>
      <c r="R9" s="90"/>
      <c r="S9" s="90"/>
      <c r="V9" s="2" t="s">
        <v>23</v>
      </c>
      <c r="W9" s="2" t="s">
        <v>30</v>
      </c>
      <c r="X9" s="30" t="b">
        <v>0</v>
      </c>
      <c r="Y9" s="30"/>
      <c r="Z9" s="30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1" t="s">
        <v>41</v>
      </c>
    </row>
    <row r="10" spans="2:47" ht="33.75" customHeight="1">
      <c r="B10" s="5">
        <v>3</v>
      </c>
      <c r="C10" s="51"/>
      <c r="D10" s="52"/>
      <c r="E10" s="52"/>
      <c r="F10" s="52"/>
      <c r="G10" s="52"/>
      <c r="H10" s="53"/>
      <c r="I10" s="49"/>
      <c r="J10" s="50"/>
      <c r="K10" s="35"/>
      <c r="L10" s="38">
        <f t="shared" si="0"/>
        <v>0</v>
      </c>
      <c r="M10" s="23"/>
      <c r="N10" s="24"/>
      <c r="O10" s="90"/>
      <c r="P10" s="90"/>
      <c r="Q10" s="90"/>
      <c r="R10" s="90"/>
      <c r="S10" s="90"/>
      <c r="V10" s="2" t="s">
        <v>26</v>
      </c>
      <c r="W10" s="2" t="s">
        <v>20</v>
      </c>
      <c r="X10" s="30" t="b">
        <v>1</v>
      </c>
      <c r="Y10" s="30"/>
      <c r="Z10" s="30"/>
      <c r="AB10" s="15"/>
      <c r="AH10" s="1">
        <v>4</v>
      </c>
      <c r="AS10" s="1" t="s">
        <v>42</v>
      </c>
    </row>
    <row r="11" spans="2:47" ht="33.75" customHeight="1">
      <c r="B11" s="5">
        <v>4</v>
      </c>
      <c r="C11" s="51"/>
      <c r="D11" s="52"/>
      <c r="E11" s="52"/>
      <c r="F11" s="52"/>
      <c r="G11" s="52"/>
      <c r="H11" s="53"/>
      <c r="I11" s="49"/>
      <c r="J11" s="50"/>
      <c r="K11" s="35">
        <v>0</v>
      </c>
      <c r="L11" s="38">
        <f t="shared" si="0"/>
        <v>0</v>
      </c>
      <c r="M11" s="23"/>
      <c r="N11" s="24"/>
      <c r="O11" s="90"/>
      <c r="P11" s="90"/>
      <c r="Q11" s="90"/>
      <c r="R11" s="90"/>
      <c r="S11" s="90"/>
      <c r="V11" s="2" t="s">
        <v>48</v>
      </c>
      <c r="W11" s="2" t="s">
        <v>31</v>
      </c>
      <c r="X11" s="30" t="b">
        <v>1</v>
      </c>
      <c r="Y11" s="30"/>
      <c r="Z11" s="30"/>
      <c r="AB11" s="15"/>
      <c r="AH11" s="1">
        <v>5</v>
      </c>
      <c r="AS11" s="1" t="s">
        <v>43</v>
      </c>
    </row>
    <row r="12" spans="2:47" ht="33.75" customHeight="1">
      <c r="B12" s="5">
        <v>5</v>
      </c>
      <c r="C12" s="51"/>
      <c r="D12" s="52"/>
      <c r="E12" s="52"/>
      <c r="F12" s="52"/>
      <c r="G12" s="52"/>
      <c r="H12" s="53"/>
      <c r="I12" s="49"/>
      <c r="J12" s="50"/>
      <c r="K12" s="35">
        <v>0</v>
      </c>
      <c r="L12" s="38">
        <f t="shared" si="0"/>
        <v>0</v>
      </c>
      <c r="M12" s="23"/>
      <c r="N12" s="24"/>
      <c r="O12" s="90"/>
      <c r="P12" s="90"/>
      <c r="Q12" s="90"/>
      <c r="R12" s="90"/>
      <c r="S12" s="90"/>
      <c r="V12" s="2" t="s">
        <v>49</v>
      </c>
      <c r="W12" s="2" t="s">
        <v>28</v>
      </c>
      <c r="X12" s="30" t="b">
        <v>1</v>
      </c>
      <c r="Y12" s="30"/>
      <c r="Z12" s="30"/>
      <c r="AB12" s="15"/>
      <c r="AH12" s="1">
        <v>6</v>
      </c>
      <c r="AR12" s="1" t="s">
        <v>34</v>
      </c>
      <c r="AS12" s="1" t="s">
        <v>44</v>
      </c>
    </row>
    <row r="13" spans="2:47" ht="27.95" customHeight="1">
      <c r="B13" s="22">
        <v>6</v>
      </c>
      <c r="C13" s="92"/>
      <c r="D13" s="93"/>
      <c r="E13" s="93"/>
      <c r="F13" s="93"/>
      <c r="G13" s="93"/>
      <c r="H13" s="53"/>
      <c r="I13" s="49"/>
      <c r="J13" s="50"/>
      <c r="K13" s="35">
        <v>0</v>
      </c>
      <c r="L13" s="38">
        <f t="shared" si="0"/>
        <v>0</v>
      </c>
      <c r="M13" s="23"/>
      <c r="N13" s="24"/>
      <c r="O13" s="91"/>
      <c r="P13" s="91"/>
      <c r="Q13" s="91"/>
      <c r="R13" s="91"/>
      <c r="S13" s="91"/>
      <c r="V13" s="2"/>
      <c r="W13" s="2" t="s">
        <v>29</v>
      </c>
      <c r="X13" s="30" t="b">
        <v>1</v>
      </c>
      <c r="Y13" s="30"/>
      <c r="Z13" s="30"/>
      <c r="AB13" s="15"/>
      <c r="AH13" s="1">
        <v>7</v>
      </c>
      <c r="AS13" s="3" t="s">
        <v>45</v>
      </c>
      <c r="AU13" s="1" t="s">
        <v>34</v>
      </c>
    </row>
    <row r="14" spans="2:47" s="6" customFormat="1" ht="21" customHeight="1">
      <c r="B14" s="59" t="s">
        <v>6</v>
      </c>
      <c r="C14" s="60"/>
      <c r="D14" s="60"/>
      <c r="E14" s="101" t="s">
        <v>36</v>
      </c>
      <c r="F14" s="102"/>
      <c r="G14" s="103"/>
      <c r="H14" s="61" t="s">
        <v>8</v>
      </c>
      <c r="I14" s="61"/>
      <c r="J14" s="61"/>
      <c r="K14" s="61"/>
      <c r="L14" s="61"/>
      <c r="M14" s="62"/>
      <c r="N14" s="63" t="s">
        <v>9</v>
      </c>
      <c r="O14" s="82"/>
      <c r="P14" s="97"/>
      <c r="Q14" s="82"/>
      <c r="R14" s="85"/>
      <c r="S14" s="86"/>
      <c r="U14" s="54"/>
      <c r="W14" s="6" t="str">
        <f>B4</f>
        <v xml:space="preserve">درخواست کالا و مواد </v>
      </c>
      <c r="X14" s="31" t="b">
        <v>0</v>
      </c>
      <c r="Y14" s="31"/>
      <c r="Z14" s="31"/>
      <c r="AA14" s="14"/>
    </row>
    <row r="15" spans="2:47" ht="27" customHeight="1">
      <c r="B15" s="94" t="s">
        <v>50</v>
      </c>
      <c r="C15" s="55"/>
      <c r="D15" s="56"/>
      <c r="E15" s="104"/>
      <c r="F15" s="105"/>
      <c r="G15" s="106"/>
      <c r="H15" s="100" t="s">
        <v>32</v>
      </c>
      <c r="I15" s="55"/>
      <c r="J15" s="55"/>
      <c r="K15" s="55"/>
      <c r="L15" s="55"/>
      <c r="M15" s="56"/>
      <c r="N15" s="64"/>
      <c r="O15" s="83"/>
      <c r="P15" s="98"/>
      <c r="Q15" s="83"/>
      <c r="R15" s="85"/>
      <c r="S15" s="87"/>
      <c r="U15" s="54"/>
      <c r="X15" s="30" t="b">
        <v>1</v>
      </c>
      <c r="Y15" s="30"/>
      <c r="Z15" s="30"/>
    </row>
    <row r="16" spans="2:47" ht="21.95" customHeight="1">
      <c r="B16" s="95"/>
      <c r="C16" s="55"/>
      <c r="D16" s="56"/>
      <c r="E16" s="101" t="s">
        <v>35</v>
      </c>
      <c r="F16" s="102"/>
      <c r="G16" s="103"/>
      <c r="H16" s="100"/>
      <c r="I16" s="55"/>
      <c r="J16" s="55"/>
      <c r="K16" s="55"/>
      <c r="L16" s="55"/>
      <c r="M16" s="56"/>
      <c r="N16" s="18" t="s">
        <v>25</v>
      </c>
      <c r="O16" s="83"/>
      <c r="P16" s="98"/>
      <c r="Q16" s="83"/>
      <c r="R16" s="85"/>
      <c r="S16" s="87"/>
      <c r="U16" s="54"/>
      <c r="X16" s="30" t="b">
        <v>0</v>
      </c>
      <c r="Y16" s="30"/>
      <c r="Z16" s="30"/>
    </row>
    <row r="17" spans="2:27" s="3" customFormat="1" ht="93.75" customHeight="1">
      <c r="B17" s="96"/>
      <c r="C17" s="57"/>
      <c r="D17" s="58"/>
      <c r="E17" s="104"/>
      <c r="F17" s="105"/>
      <c r="G17" s="106"/>
      <c r="H17" s="21" t="s">
        <v>33</v>
      </c>
      <c r="I17" s="57"/>
      <c r="J17" s="57"/>
      <c r="K17" s="57"/>
      <c r="L17" s="57"/>
      <c r="M17" s="58"/>
      <c r="N17" s="37" t="s">
        <v>55</v>
      </c>
      <c r="O17" s="84"/>
      <c r="P17" s="99"/>
      <c r="Q17" s="84"/>
      <c r="R17" s="85"/>
      <c r="S17" s="88"/>
      <c r="U17" s="54"/>
      <c r="X17" s="32" t="b">
        <v>0</v>
      </c>
      <c r="Y17" s="32"/>
      <c r="Z17" s="32"/>
      <c r="AA17" s="4"/>
    </row>
    <row r="18" spans="2:27" ht="15" customHeight="1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39" t="s">
        <v>51</v>
      </c>
      <c r="Q18" s="39"/>
      <c r="R18" s="39"/>
      <c r="S18" s="39"/>
      <c r="X18" s="30" t="b">
        <v>0</v>
      </c>
      <c r="Y18" s="30"/>
      <c r="Z18" s="30"/>
    </row>
    <row r="19" spans="2:27" ht="18" customHeight="1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30" t="b">
        <v>0</v>
      </c>
      <c r="Y19" s="30"/>
      <c r="Z19" s="30"/>
    </row>
    <row r="20" spans="2:27" s="4" customFormat="1" ht="16.5" customHeight="1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X20" s="33" t="b">
        <v>1</v>
      </c>
      <c r="Y20" s="33"/>
      <c r="Z20" s="33"/>
    </row>
    <row r="21" spans="2:27">
      <c r="D21" s="10"/>
      <c r="E21" s="10"/>
      <c r="X21" s="30" t="b">
        <v>0</v>
      </c>
      <c r="Y21" s="30"/>
      <c r="Z21" s="30"/>
    </row>
  </sheetData>
  <sheetProtection algorithmName="SHA-512" hashValue="VivCm391B7XZK/foMWQxb66hyLry2U9ZlGl+ilxMjdbVim0lF0q1UIIIpsqXNqxg1GKdgASthYEIAJnIJ6ZDww==" saltValue="hkv2TLKrPSDrttOIkaogHA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$V$6:$V$12</formula1>
    </dataValidation>
    <dataValidation type="list" allowBlank="1" showInputMessage="1" showErrorMessage="1" sqref="M8:M13">
      <formula1>$AS$4:$AS$13</formula1>
    </dataValidation>
  </dataValidations>
  <pageMargins left="0.51181102362204722" right="0.51181102362204722" top="0.55118110236220474" bottom="0.35433070866141736" header="0.31496062992125984" footer="0.31496062992125984"/>
  <pageSetup paperSize="9" scale="95" orientation="landscape" r:id="rId1"/>
  <ignoredErrors>
    <ignoredError sqref="L8:L13" unlockedFormula="1"/>
  </ignoredErrors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247650</xdr:colOff>
                <xdr:row>16</xdr:row>
                <xdr:rowOff>400050</xdr:rowOff>
              </from>
              <to>
                <xdr:col>3</xdr:col>
                <xdr:colOff>419100</xdr:colOff>
                <xdr:row>16</xdr:row>
                <xdr:rowOff>581025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266700</xdr:colOff>
                <xdr:row>16</xdr:row>
                <xdr:rowOff>685800</xdr:rowOff>
              </from>
              <to>
                <xdr:col>3</xdr:col>
                <xdr:colOff>419100</xdr:colOff>
                <xdr:row>16</xdr:row>
                <xdr:rowOff>809625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266700</xdr:colOff>
                <xdr:row>16</xdr:row>
                <xdr:rowOff>876300</xdr:rowOff>
              </from>
              <to>
                <xdr:col>3</xdr:col>
                <xdr:colOff>409575</xdr:colOff>
                <xdr:row>16</xdr:row>
                <xdr:rowOff>1028700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14</xdr:row>
                <xdr:rowOff>171450</xdr:rowOff>
              </from>
              <to>
                <xdr:col>18</xdr:col>
                <xdr:colOff>304800</xdr:colOff>
                <xdr:row>15</xdr:row>
                <xdr:rowOff>123825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114300</xdr:colOff>
                <xdr:row>14</xdr:row>
                <xdr:rowOff>180975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123825</xdr:colOff>
                <xdr:row>14</xdr:row>
                <xdr:rowOff>190500</xdr:rowOff>
              </from>
              <to>
                <xdr:col>16</xdr:col>
                <xdr:colOff>285750</xdr:colOff>
                <xdr:row>15</xdr:row>
                <xdr:rowOff>95250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14</xdr:row>
                <xdr:rowOff>171450</xdr:rowOff>
              </from>
              <to>
                <xdr:col>15</xdr:col>
                <xdr:colOff>323850</xdr:colOff>
                <xdr:row>15</xdr:row>
                <xdr:rowOff>66675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123825</xdr:colOff>
                <xdr:row>14</xdr:row>
                <xdr:rowOff>171450</xdr:rowOff>
              </from>
              <to>
                <xdr:col>14</xdr:col>
                <xdr:colOff>285750</xdr:colOff>
                <xdr:row>15</xdr:row>
                <xdr:rowOff>133350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9</xdr:col>
                <xdr:colOff>95250</xdr:colOff>
                <xdr:row>15</xdr:row>
                <xdr:rowOff>95250</xdr:rowOff>
              </from>
              <to>
                <xdr:col>9</xdr:col>
                <xdr:colOff>257175</xdr:colOff>
                <xdr:row>16</xdr:row>
                <xdr:rowOff>85725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276225</xdr:colOff>
                <xdr:row>14</xdr:row>
                <xdr:rowOff>285750</xdr:rowOff>
              </from>
              <to>
                <xdr:col>3</xdr:col>
                <xdr:colOff>438150</xdr:colOff>
                <xdr:row>15</xdr:row>
                <xdr:rowOff>114300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33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linkedCell="X18" r:id="rId35">
            <anchor moveWithCells="1">
              <from>
                <xdr:col>3</xdr:col>
                <xdr:colOff>247650</xdr:colOff>
                <xdr:row>16</xdr:row>
                <xdr:rowOff>133350</xdr:rowOff>
              </from>
              <to>
                <xdr:col>3</xdr:col>
                <xdr:colOff>419100</xdr:colOff>
                <xdr:row>16</xdr:row>
                <xdr:rowOff>342900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6</xdr:col>
                <xdr:colOff>666750</xdr:colOff>
                <xdr:row>16</xdr:row>
                <xdr:rowOff>180975</xdr:rowOff>
              </from>
              <to>
                <xdr:col>6</xdr:col>
                <xdr:colOff>819150</xdr:colOff>
                <xdr:row>16</xdr:row>
                <xdr:rowOff>323850</xdr:rowOff>
              </to>
            </anchor>
          </controlPr>
        </control>
      </mc:Choice>
      <mc:Fallback>
        <control shapeId="5145" r:id="rId36" name="CheckBox1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REM-40110-777-337</vt:lpstr>
      <vt:lpstr>'REM-40110-777-337'!Print_Area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m.kardan</cp:lastModifiedBy>
  <cp:lastPrinted>2022-11-29T12:36:14Z</cp:lastPrinted>
  <dcterms:created xsi:type="dcterms:W3CDTF">2017-10-03T08:00:51Z</dcterms:created>
  <dcterms:modified xsi:type="dcterms:W3CDTF">2023-01-15T04:55:37Z</dcterms:modified>
</cp:coreProperties>
</file>