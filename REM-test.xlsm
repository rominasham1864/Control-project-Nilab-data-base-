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re\Desktop\"/>
    </mc:Choice>
  </mc:AlternateContent>
  <bookViews>
    <workbookView xWindow="-120" yWindow="-120" windowWidth="24240" windowHeight="13140" tabRatio="586"/>
  </bookViews>
  <sheets>
    <sheet name="REM-40206-110-106" sheetId="4" r:id="rId1"/>
  </sheets>
  <definedNames>
    <definedName name="_xlnm.Print_Area" localSheetId="0">'REM-40206-110-106'!$B$2:$S$20</definedName>
  </definedNames>
  <calcPr calcId="162913"/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<sst xmlns="http://schemas.openxmlformats.org/spreadsheetml/2006/main" count="69" uniqueCount="65">
  <si>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</si>
  <si>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</si>
  <si>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</si>
  <si>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</si>
  <si>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</si>
  <si>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</si>
  <si>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</si>
  <si>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</si>
  <si>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</si>
  <si>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</si>
  <si>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</si>
  <si>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</si>
  <si>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</si>
  <si>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</si>
  <si>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</si>
  <si>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</si>
  <si>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</si>
  <si>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</si>
  <si>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</si>
  <si>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</si>
  <si>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</si>
  <si>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</si>
  <si>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</si>
  <si>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</si>
  <si>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</si>
  <si>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</si>
  <si>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</si>
  <si>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</si>
  <si>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</si>
  <si>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</si>
  <si>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</si>
  <si>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</si>
  <si>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</si>
  <si>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</si>
  <si>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</si>
  <si>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</si>
  <si>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</si>
  <si>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</si>
  <si>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</si>
  <si>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</si>
  <si>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</si>
  <si>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</si>
  <si>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</si>
  <si>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</si>
  <si>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</si>
  <si>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</si>
  <si>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</si>
  <si>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</si>
  <si>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</si>
  <si>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</si>
  <si>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</si>
  <si>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</si>
  <si>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</si>
  <si>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</si>
  <si>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</si>
  <si>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</si>
  <si>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t>مدیر / سرپرست کارگاه/سایت:                                                            تایید و صدور:</t>
  </si>
  <si>
    <t>1402/06/20</t>
  </si>
  <si>
    <t xml:space="preserve">مانیتور 24 اینچ ال جی 24MK600M
</t>
  </si>
  <si>
    <t>مالی</t>
  </si>
  <si>
    <t xml:space="preserve">نرخ بروزرسانی: 75 هرتز
</t>
  </si>
  <si>
    <t xml:space="preserve">اندازه صفحه نمایش: 23.8 اینچ
</t>
  </si>
  <si>
    <t xml:space="preserve">رزولوشن: 1080×1920 پیکسل
</t>
  </si>
  <si>
    <t>1402/05/06</t>
  </si>
  <si>
    <t>برق:                                    مکانیک:                                   بهره برداری:                          آزمایشگاه:                              HSE                                     اداری:                                      انبار  :                                مدیرتصفیه خانه: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</si>
</sst>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8" fillId="3" borderId="4" xfId="0" applyNumberFormat="1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8" fillId="3" borderId="2" xfId="0" applyNumberFormat="1" applyFont="1" applyFill="1" applyBorder="1" applyAlignment="1" applyProtection="1">
      <alignment horizontal="center" vertical="center" readingOrder="2"/>
      <protection locked="0"/>
    </xf>
    <xf numFmtId="1" fontId="8" fillId="3" borderId="4" xfId="0" applyNumberFormat="1" applyFont="1" applyFill="1" applyBorder="1" applyAlignment="1" applyProtection="1">
      <alignment horizontal="center" vertical="center" readingOrder="2"/>
      <protection locked="0"/>
    </xf>
    <xf numFmtId="49" fontId="8" fillId="3" borderId="2" xfId="0" applyNumberFormat="1" applyFont="1" applyFill="1" applyBorder="1" applyAlignment="1" applyProtection="1">
      <alignment horizontal="center" vertical="center" wrapText="1" readingOrder="2"/>
      <protection locked="0"/>
    </xf>
    <xf numFmtId="49" fontId="8" fillId="3" borderId="3" xfId="0" applyNumberFormat="1" applyFont="1" applyFill="1" applyBorder="1" applyAlignment="1" applyProtection="1">
      <alignment horizontal="center" vertical="center" readingOrder="2"/>
      <protection locked="0"/>
    </xf>
    <xf numFmtId="49" fontId="8" fillId="3" borderId="4" xfId="0" applyNumberFormat="1" applyFont="1" applyFill="1" applyBorder="1" applyAlignment="1" applyProtection="1">
      <alignment horizontal="center" vertical="center" readingOrder="2"/>
      <protection locked="0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49" fontId="8" fillId="3" borderId="2" xfId="0" applyNumberFormat="1" applyFont="1" applyFill="1" applyBorder="1" applyAlignment="1" applyProtection="1">
      <alignment horizontal="center" vertical="center" readingOrder="2"/>
      <protection locked="0"/>
    </xf>
    <xf numFmtId="49" fontId="8" fillId="3" borderId="6" xfId="0" applyNumberFormat="1" applyFont="1" applyFill="1" applyBorder="1" applyAlignment="1" applyProtection="1">
      <alignment horizontal="center" vertical="center" readingOrder="2"/>
      <protection locked="0"/>
    </xf>
    <xf numFmtId="49" fontId="8" fillId="3" borderId="5" xfId="0" applyNumberFormat="1" applyFont="1" applyFill="1" applyBorder="1" applyAlignment="1" applyProtection="1">
      <alignment horizontal="center" vertical="center" readingOrder="2"/>
      <protection locked="0"/>
    </xf>
    <xf numFmtId="0" fontId="7" fillId="0" borderId="0" xfId="0" applyFont="1" applyAlignment="1">
      <alignment horizontal="right" vertical="top" wrapText="1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3" fillId="0" borderId="10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11" xfId="0" applyFont="1" applyBorder="1" applyAlignment="1">
      <alignment vertical="top" wrapText="1"/>
    </xf>
    <xf numFmtId="0" fontId="7" fillId="0" borderId="10" xfId="0" applyFont="1" applyBorder="1" applyAlignment="1">
      <alignment vertical="top" wrapText="1"/>
    </xf>
    <xf numFmtId="0" fontId="7" fillId="0" borderId="9" xfId="0" applyFont="1" applyBorder="1" applyAlignment="1">
      <alignment vertical="top" wrapText="1"/>
    </xf>
    <xf numFmtId="0" fontId="7" fillId="0" borderId="7" xfId="0" applyFont="1" applyBorder="1" applyAlignment="1">
      <alignment vertical="top" wrapText="1"/>
    </xf>
    <xf numFmtId="0" fontId="7" fillId="0" borderId="8" xfId="0" applyFont="1" applyBorder="1" applyAlignment="1">
      <alignment vertical="top" wrapText="1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19.emf"/><Relationship Id="rId17" Type="http://schemas.openxmlformats.org/officeDocument/2006/relationships/image" Target="../media/image3.emf"/><Relationship Id="rId2" Type="http://schemas.openxmlformats.org/officeDocument/2006/relationships/image" Target="../media/image14.emf"/><Relationship Id="rId16" Type="http://schemas.openxmlformats.org/officeDocument/2006/relationships/image" Target="../media/image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18.emf"/><Relationship Id="rId5" Type="http://schemas.openxmlformats.org/officeDocument/2006/relationships/image" Target="../media/image11.emf"/><Relationship Id="rId15" Type="http://schemas.openxmlformats.org/officeDocument/2006/relationships/image" Target="../media/image5.emf"/><Relationship Id="rId10" Type="http://schemas.openxmlformats.org/officeDocument/2006/relationships/image" Target="../media/image17.emf"/><Relationship Id="rId19" Type="http://schemas.openxmlformats.org/officeDocument/2006/relationships/image" Target="../media/image1.emf"/><Relationship Id="rId4" Type="http://schemas.openxmlformats.org/officeDocument/2006/relationships/image" Target="../media/image12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76201</xdr:colOff>
          <xdr:row>13</xdr:row>
          <xdr:rowOff>209549</xdr:rowOff>
        </xdr:from>
        <xdr:to>
          <xdr:col>13</xdr:col>
          <xdr:colOff>1666876</xdr:colOff>
          <xdr:row>14</xdr:row>
          <xdr:rowOff>295274</xdr:rowOff>
        </xdr:to>
        <xdr:sp macro="" textlink="">
          <xdr:nvSpPr>
            <xdr:cNvPr id="5153" name="CommandButton1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74544</xdr:colOff>
      <xdr:row>14</xdr:row>
      <xdr:rowOff>57978</xdr:rowOff>
    </xdr:from>
    <xdr:to>
      <xdr:col>2</xdr:col>
      <xdr:colOff>455544</xdr:colOff>
      <xdr:row>14</xdr:row>
      <xdr:rowOff>256760</xdr:rowOff>
    </xdr:to>
    <xdr:sp macro="" textlink="">
      <xdr:nvSpPr>
        <xdr:cNvPr id="3" name="TextBox 2"/>
        <xdr:cNvSpPr txBox="1"/>
      </xdr:nvSpPr>
      <xdr:spPr>
        <a:xfrm>
          <a:off x="9075709891" y="4489174"/>
          <a:ext cx="381000" cy="1987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/>
            <a:t>برق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W22"/>
  <sheetViews>
    <sheetView showRowColHeaders="0" rightToLeft="1" tabSelected="1" topLeftCell="A5" zoomScale="85" zoomScaleNormal="85" zoomScalePageLayoutView="84" workbookViewId="0">
      <selection activeCell="O8" sqref="O8:O13"/>
    </sheetView>
  </sheetViews>
  <sheetFormatPr defaultColWidth="8.28515625" defaultRowHeight="18" x14ac:dyDescent="0.25"/>
  <cols>
    <col min="1" max="1" width="4.7109375" style="1" customWidth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14.140625" style="1" customWidth="1"/>
    <col min="13" max="13" width="7.85546875" style="1" customWidth="1"/>
    <col min="14" max="14" width="26.5703125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hidden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7" width="8.28515625" style="1" hidden="1" customWidth="1"/>
    <col min="48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9" ht="12" customHeight="1" x14ac:dyDescent="0.25"/>
    <row r="2" spans="2:49" ht="15.75" customHeight="1" x14ac:dyDescent="0.25">
      <c r="B2" s="68" t="s">
        <v>17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70"/>
      <c r="AS2" s="13" t="s">
        <v>36</v>
      </c>
    </row>
    <row r="3" spans="2:49" ht="13.5" customHeight="1" x14ac:dyDescent="0.25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3"/>
      <c r="AS3" s="13" t="s">
        <v>37</v>
      </c>
    </row>
    <row r="4" spans="2:49" ht="17.25" customHeight="1" x14ac:dyDescent="0.25">
      <c r="B4" s="74" t="s">
        <v>7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6"/>
      <c r="W4" s="1" t="str">
        <f>S6&amp;R6&amp;Q6</f>
        <v>402110106</v>
      </c>
      <c r="AS4" s="2" t="s">
        <v>38</v>
      </c>
    </row>
    <row r="5" spans="2:49" ht="9" customHeight="1" x14ac:dyDescent="0.25">
      <c r="B5" s="77"/>
      <c r="C5" s="78"/>
      <c r="D5" s="78"/>
      <c r="E5" s="78"/>
      <c r="F5" s="78"/>
      <c r="G5" s="75"/>
      <c r="H5" s="75"/>
      <c r="I5" s="75"/>
      <c r="J5" s="75"/>
      <c r="K5" s="75"/>
      <c r="L5" s="75"/>
      <c r="M5" s="78"/>
      <c r="N5" s="78"/>
      <c r="O5" s="78"/>
      <c r="P5" s="78"/>
      <c r="Q5" s="78"/>
      <c r="R5" s="78"/>
      <c r="S5" s="79"/>
      <c r="AS5" s="2" t="s">
        <v>39</v>
      </c>
    </row>
    <row r="6" spans="2:49" s="3" customFormat="1" ht="32.25" customHeight="1" x14ac:dyDescent="0.25">
      <c r="B6" s="44" t="s">
        <v>11</v>
      </c>
      <c r="C6" s="45"/>
      <c r="D6" s="36" t="s">
        <v>47</v>
      </c>
      <c r="E6" s="45" t="s">
        <v>4</v>
      </c>
      <c r="F6" s="45"/>
      <c r="G6" s="24" t="s">
        <v>28</v>
      </c>
      <c r="H6" s="20">
        <f>IF(G6=W7,770,IF(G6=W8,880,IF(G6=W9,777,IF(G6=W10,667,IF(G6=W11,666,IF(G6=W12,110,IF(G6=W13,210,)))))))</f>
        <v>110</v>
      </c>
      <c r="I6" s="80" t="s">
        <v>5</v>
      </c>
      <c r="J6" s="81"/>
      <c r="K6" s="81"/>
      <c r="L6" s="81"/>
      <c r="M6" s="81"/>
      <c r="N6" s="33" t="s">
        <v>57</v>
      </c>
      <c r="O6" s="82" t="s">
        <v>27</v>
      </c>
      <c r="P6" s="83"/>
      <c r="Q6" s="25">
        <v>106</v>
      </c>
      <c r="R6" s="26">
        <v>110</v>
      </c>
      <c r="S6" s="27">
        <v>402</v>
      </c>
      <c r="V6" s="13"/>
      <c r="W6" s="13"/>
      <c r="X6" s="43"/>
      <c r="Y6" s="43"/>
      <c r="Z6" s="43"/>
      <c r="AA6" s="4"/>
      <c r="AS6" s="2" t="s">
        <v>40</v>
      </c>
    </row>
    <row r="7" spans="2:49" s="3" customFormat="1" ht="29.25" customHeight="1" x14ac:dyDescent="0.25">
      <c r="B7" s="12" t="s">
        <v>0</v>
      </c>
      <c r="C7" s="44" t="s">
        <v>3</v>
      </c>
      <c r="D7" s="45"/>
      <c r="E7" s="45"/>
      <c r="F7" s="45"/>
      <c r="G7" s="46"/>
      <c r="H7" s="47"/>
      <c r="I7" s="48" t="s">
        <v>10</v>
      </c>
      <c r="J7" s="49"/>
      <c r="K7" s="32" t="s">
        <v>45</v>
      </c>
      <c r="L7" s="32" t="s">
        <v>46</v>
      </c>
      <c r="M7" s="7" t="s">
        <v>2</v>
      </c>
      <c r="N7" s="16" t="s">
        <v>1</v>
      </c>
      <c r="O7" s="50" t="s">
        <v>12</v>
      </c>
      <c r="P7" s="50"/>
      <c r="Q7" s="50"/>
      <c r="R7" s="50"/>
      <c r="S7" s="51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5">
      <c r="B8" s="5">
        <v>1</v>
      </c>
      <c r="C8" s="54" t="s">
        <v>58</v>
      </c>
      <c r="D8" s="55"/>
      <c r="E8" s="55"/>
      <c r="F8" s="55"/>
      <c r="G8" s="55"/>
      <c r="H8" s="56"/>
      <c r="I8" s="52">
        <v>1</v>
      </c>
      <c r="J8" s="53"/>
      <c r="K8" s="39">
        <v>0</v>
      </c>
      <c r="L8" s="40" t="str">
        <f>IF(K8-I8&gt;=0,(I8)&amp;"دریافت از انبار  ",I8-K8&amp;" برای خرید  ")</f>
        <v xml:space="preserve">1 برای خرید  </v>
      </c>
      <c r="M8" s="38" t="s">
        <v>38</v>
      </c>
      <c r="N8" s="23" t="s">
        <v>59</v>
      </c>
      <c r="O8" s="92" t="s">
        <v>14</v>
      </c>
      <c r="P8" s="92" t="s">
        <v>13</v>
      </c>
      <c r="Q8" s="92" t="s">
        <v>24</v>
      </c>
      <c r="R8" s="92" t="s">
        <v>15</v>
      </c>
      <c r="S8" s="92" t="s">
        <v>16</v>
      </c>
      <c r="U8" s="41">
        <f>I8</f>
        <v>1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25">
      <c r="B9" s="5">
        <v>2</v>
      </c>
      <c r="C9" s="54" t="s">
        <v>60</v>
      </c>
      <c r="D9" s="55"/>
      <c r="E9" s="55"/>
      <c r="F9" s="55"/>
      <c r="G9" s="55"/>
      <c r="H9" s="56"/>
      <c r="I9" s="52">
        <v>0</v>
      </c>
      <c r="J9" s="53"/>
      <c r="K9" s="39">
        <v>0</v>
      </c>
      <c r="L9" s="40" t="str">
        <f t="shared" ref="L9:L13" si="0">IF(K9-I9&gt;=0,(I9)&amp;"دریافت از انبار  ",I9-K9&amp;" برای خرید  ")</f>
        <v xml:space="preserve">0دریافت از انبار  </v>
      </c>
      <c r="M9" s="38"/>
      <c r="N9" s="23"/>
      <c r="O9" s="93"/>
      <c r="P9" s="93"/>
      <c r="Q9" s="93"/>
      <c r="R9" s="93"/>
      <c r="S9" s="93"/>
      <c r="U9" s="41">
        <f t="shared" ref="U9:U13" si="1">I9</f>
        <v>0</v>
      </c>
      <c r="V9" s="2" t="s">
        <v>23</v>
      </c>
      <c r="W9" s="2" t="s">
        <v>30</v>
      </c>
      <c r="X9" s="28" t="b">
        <v>1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5">
      <c r="B10" s="5">
        <v>3</v>
      </c>
      <c r="C10" s="54" t="s">
        <v>61</v>
      </c>
      <c r="D10" s="55"/>
      <c r="E10" s="55"/>
      <c r="F10" s="55"/>
      <c r="G10" s="55"/>
      <c r="H10" s="56"/>
      <c r="I10" s="52">
        <v>0</v>
      </c>
      <c r="J10" s="53"/>
      <c r="K10" s="39">
        <v>0</v>
      </c>
      <c r="L10" s="40" t="str">
        <f t="shared" si="0"/>
        <v xml:space="preserve">0دریافت از انبار  </v>
      </c>
      <c r="M10" s="38"/>
      <c r="N10" s="23"/>
      <c r="O10" s="93"/>
      <c r="P10" s="93"/>
      <c r="Q10" s="93"/>
      <c r="R10" s="93"/>
      <c r="S10" s="93"/>
      <c r="U10" s="41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25">
      <c r="B11" s="5">
        <v>4</v>
      </c>
      <c r="C11" s="54" t="s">
        <v>62</v>
      </c>
      <c r="D11" s="55"/>
      <c r="E11" s="55"/>
      <c r="F11" s="55"/>
      <c r="G11" s="55"/>
      <c r="H11" s="56"/>
      <c r="I11" s="52">
        <v>0</v>
      </c>
      <c r="J11" s="53"/>
      <c r="K11" s="39">
        <v>0</v>
      </c>
      <c r="L11" s="40" t="str">
        <f t="shared" si="0"/>
        <v xml:space="preserve">0دریافت از انبار  </v>
      </c>
      <c r="M11" s="38"/>
      <c r="N11" s="23"/>
      <c r="O11" s="93"/>
      <c r="P11" s="93"/>
      <c r="Q11" s="93"/>
      <c r="R11" s="93"/>
      <c r="S11" s="93"/>
      <c r="U11" s="41">
        <f t="shared" si="1"/>
        <v>0</v>
      </c>
      <c r="V11" s="2" t="s">
        <v>47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5">
      <c r="B12" s="5">
        <v>5</v>
      </c>
      <c r="C12" s="95"/>
      <c r="D12" s="55"/>
      <c r="E12" s="55"/>
      <c r="F12" s="55"/>
      <c r="G12" s="55"/>
      <c r="H12" s="56"/>
      <c r="I12" s="52">
        <v>0</v>
      </c>
      <c r="J12" s="53"/>
      <c r="K12" s="39">
        <v>0</v>
      </c>
      <c r="L12" s="40" t="str">
        <f t="shared" si="0"/>
        <v xml:space="preserve">0دریافت از انبار  </v>
      </c>
      <c r="M12" s="38"/>
      <c r="N12" s="23"/>
      <c r="O12" s="93"/>
      <c r="P12" s="93"/>
      <c r="Q12" s="93"/>
      <c r="R12" s="93"/>
      <c r="S12" s="93"/>
      <c r="U12" s="41">
        <f t="shared" si="1"/>
        <v>0</v>
      </c>
      <c r="V12" s="2" t="s">
        <v>48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5">
      <c r="B13" s="22">
        <v>6</v>
      </c>
      <c r="C13" s="96"/>
      <c r="D13" s="97"/>
      <c r="E13" s="97"/>
      <c r="F13" s="97"/>
      <c r="G13" s="97"/>
      <c r="H13" s="56"/>
      <c r="I13" s="52">
        <v>0</v>
      </c>
      <c r="J13" s="53"/>
      <c r="K13" s="39">
        <v>0</v>
      </c>
      <c r="L13" s="40" t="str">
        <f t="shared" si="0"/>
        <v xml:space="preserve">0دریافت از انبار  </v>
      </c>
      <c r="M13" s="38"/>
      <c r="N13" s="23"/>
      <c r="O13" s="94"/>
      <c r="P13" s="94"/>
      <c r="Q13" s="94"/>
      <c r="R13" s="94"/>
      <c r="S13" s="94"/>
      <c r="U13" s="41">
        <f t="shared" si="1"/>
        <v>0</v>
      </c>
      <c r="V13" s="2" t="s">
        <v>49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25">
      <c r="B14" s="62" t="s">
        <v>6</v>
      </c>
      <c r="C14" s="63"/>
      <c r="D14" s="63"/>
      <c r="E14" s="102" t="s">
        <v>35</v>
      </c>
      <c r="F14" s="103"/>
      <c r="G14" s="104"/>
      <c r="H14" s="64" t="s">
        <v>8</v>
      </c>
      <c r="I14" s="64"/>
      <c r="J14" s="64"/>
      <c r="K14" s="64"/>
      <c r="L14" s="64"/>
      <c r="M14" s="65"/>
      <c r="N14" s="66" t="s">
        <v>9</v>
      </c>
      <c r="O14" s="85"/>
      <c r="P14" s="99"/>
      <c r="Q14" s="85"/>
      <c r="R14" s="88"/>
      <c r="S14" s="89"/>
      <c r="U14" s="57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25">
      <c r="B15" s="108"/>
      <c r="C15" s="109"/>
      <c r="D15" s="110"/>
      <c r="E15" s="105"/>
      <c r="F15" s="106"/>
      <c r="G15" s="107"/>
      <c r="H15" s="98" t="s">
        <v>32</v>
      </c>
      <c r="I15" s="58"/>
      <c r="J15" s="58"/>
      <c r="K15" s="58"/>
      <c r="L15" s="58"/>
      <c r="M15" s="59"/>
      <c r="N15" s="67"/>
      <c r="O15" s="86"/>
      <c r="P15" s="100"/>
      <c r="Q15" s="86"/>
      <c r="R15" s="88"/>
      <c r="S15" s="90"/>
      <c r="U15" s="57"/>
      <c r="X15" s="28" t="b">
        <v>0</v>
      </c>
      <c r="Y15" s="28"/>
      <c r="Z15" s="28"/>
      <c r="AS15" s="2" t="s">
        <v>52</v>
      </c>
    </row>
    <row r="16" spans="2:49" ht="21.95" customHeight="1" x14ac:dyDescent="0.25">
      <c r="B16" s="111"/>
      <c r="C16" s="109"/>
      <c r="D16" s="110"/>
      <c r="E16" s="102" t="s">
        <v>56</v>
      </c>
      <c r="F16" s="103"/>
      <c r="G16" s="104"/>
      <c r="H16" s="98"/>
      <c r="I16" s="58"/>
      <c r="J16" s="58"/>
      <c r="K16" s="58"/>
      <c r="L16" s="58"/>
      <c r="M16" s="59"/>
      <c r="N16" s="18" t="s">
        <v>25</v>
      </c>
      <c r="O16" s="86"/>
      <c r="P16" s="100"/>
      <c r="Q16" s="86"/>
      <c r="R16" s="88"/>
      <c r="S16" s="90"/>
      <c r="U16" s="57"/>
      <c r="X16" s="28" t="b">
        <v>0</v>
      </c>
      <c r="Y16" s="28"/>
      <c r="Z16" s="28"/>
    </row>
    <row r="17" spans="2:27" s="3" customFormat="1" ht="112.5" customHeight="1" x14ac:dyDescent="0.25">
      <c r="B17" s="112"/>
      <c r="C17" s="113"/>
      <c r="D17" s="114"/>
      <c r="E17" s="105"/>
      <c r="F17" s="106"/>
      <c r="G17" s="107"/>
      <c r="H17" s="21" t="s">
        <v>33</v>
      </c>
      <c r="I17" s="60"/>
      <c r="J17" s="60"/>
      <c r="K17" s="60"/>
      <c r="L17" s="60"/>
      <c r="M17" s="61"/>
      <c r="N17" s="34" t="s">
        <v>63</v>
      </c>
      <c r="O17" s="87"/>
      <c r="P17" s="101"/>
      <c r="Q17" s="87"/>
      <c r="R17" s="88"/>
      <c r="S17" s="91"/>
      <c r="U17" s="57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42" t="s">
        <v>53</v>
      </c>
      <c r="Q18" s="42"/>
      <c r="R18" s="42"/>
      <c r="S18" s="42"/>
      <c r="X18" s="28" t="b">
        <v>0</v>
      </c>
      <c r="Y18" s="28"/>
      <c r="Z18" s="28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84" t="s">
        <v>64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X20" s="31" t="b">
        <v>0</v>
      </c>
      <c r="Y20" s="31"/>
      <c r="Z20" s="31"/>
    </row>
    <row r="21" spans="2:27" x14ac:dyDescent="0.25">
      <c r="D21" s="10"/>
      <c r="E21" s="10"/>
      <c r="X21" s="28" t="b">
        <v>0</v>
      </c>
      <c r="Y21" s="28"/>
      <c r="Z21" s="28"/>
    </row>
    <row r="22" spans="2:27" x14ac:dyDescent="0.25">
      <c r="X22" s="28" t="b">
        <v>0</v>
      </c>
    </row>
  </sheetData>
  <sheetProtection selectLockedCells="1"/>
  <mergeCells count="42">
    <mergeCell ref="O14:O17"/>
    <mergeCell ref="P14:P17"/>
    <mergeCell ref="H15:H16"/>
    <mergeCell ref="E16:G17"/>
    <mergeCell ref="E14:G15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2:S3"/>
    <mergeCell ref="B4:S5"/>
    <mergeCell ref="B6:C6"/>
    <mergeCell ref="E6:F6"/>
    <mergeCell ref="I6:M6"/>
    <mergeCell ref="O6:P6"/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  <dataValidation type="list" allowBlank="1" showInputMessage="1" showErrorMessage="1" sqref="M8:M13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53" r:id="rId4" name="CommandButton1">
          <controlPr defaultSize="0" autoLine="0" r:id="rId5">
            <anchor moveWithCells="1">
              <from>
                <xdr:col>13</xdr:col>
                <xdr:colOff>76200</xdr:colOff>
                <xdr:row>13</xdr:row>
                <xdr:rowOff>209550</xdr:rowOff>
              </from>
              <to>
                <xdr:col>13</xdr:col>
                <xdr:colOff>1666875</xdr:colOff>
                <xdr:row>14</xdr:row>
                <xdr:rowOff>295275</xdr:rowOff>
              </to>
            </anchor>
          </controlPr>
        </control>
      </mc:Choice>
      <mc:Fallback>
        <control shapeId="5153" r:id="rId4" name="CommandButton1"/>
      </mc:Fallback>
    </mc:AlternateContent>
    <mc:AlternateContent xmlns:mc="http://schemas.openxmlformats.org/markup-compatibility/2006">
      <mc:Choice Requires="x14">
        <control shapeId="5152" r:id="rId6" name="CheckBox19">
          <controlPr defaultSize="0" autoLine="0" linkedCell="X22" r:id="rId7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6" name="CheckBox19"/>
      </mc:Fallback>
    </mc:AlternateContent>
    <mc:AlternateContent xmlns:mc="http://schemas.openxmlformats.org/markup-compatibility/2006">
      <mc:Choice Requires="x14">
        <control shapeId="5151" r:id="rId8" name="CheckBox18">
          <controlPr defaultSize="0" autoLine="0" r:id="rId9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8" name="CheckBox18"/>
      </mc:Fallback>
    </mc:AlternateContent>
    <mc:AlternateContent xmlns:mc="http://schemas.openxmlformats.org/markup-compatibility/2006">
      <mc:Choice Requires="x14">
        <control shapeId="5149" r:id="rId10" name="CheckBox17">
          <controlPr defaultSize="0" autoLine="0" r:id="rId11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10" name="CheckBox17"/>
      </mc:Fallback>
    </mc:AlternateContent>
    <mc:AlternateContent xmlns:mc="http://schemas.openxmlformats.org/markup-compatibility/2006">
      <mc:Choice Requires="x14">
        <control shapeId="5148" r:id="rId12" name="CheckBox16">
          <controlPr defaultSize="0" autoLine="0" r:id="rId13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12" name="CheckBox16"/>
      </mc:Fallback>
    </mc:AlternateContent>
    <mc:AlternateContent xmlns:mc="http://schemas.openxmlformats.org/markup-compatibility/2006">
      <mc:Choice Requires="x14">
        <control shapeId="5147" r:id="rId14" name="CheckBox15">
          <controlPr defaultSize="0" autoLine="0" linkedCell="X21" r:id="rId15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14" name="CheckBox15"/>
      </mc:Fallback>
    </mc:AlternateContent>
    <mc:AlternateContent xmlns:mc="http://schemas.openxmlformats.org/markup-compatibility/2006">
      <mc:Choice Requires="x14">
        <control shapeId="5146" r:id="rId16" name="CheckBox14">
          <controlPr defaultSize="0" autoLine="0" linkedCell="X19" r:id="rId17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16" name="CheckBox14"/>
      </mc:Fallback>
    </mc:AlternateContent>
    <mc:AlternateContent xmlns:mc="http://schemas.openxmlformats.org/markup-compatibility/2006">
      <mc:Choice Requires="x14">
        <control shapeId="5135" r:id="rId18" name="CheckBox8">
          <controlPr defaultSize="0" autoLine="0" linkedCell="X14" r:id="rId19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18" name="CheckBox8"/>
      </mc:Fallback>
    </mc:AlternateContent>
    <mc:AlternateContent xmlns:mc="http://schemas.openxmlformats.org/markup-compatibility/2006">
      <mc:Choice Requires="x14">
        <control shapeId="5134" r:id="rId20" name="CheckBox7">
          <controlPr autoLine="0" linkedCell="X13" r:id="rId21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20" name="CheckBox7"/>
      </mc:Fallback>
    </mc:AlternateContent>
    <mc:AlternateContent xmlns:mc="http://schemas.openxmlformats.org/markup-compatibility/2006">
      <mc:Choice Requires="x14">
        <control shapeId="5133" r:id="rId22" name="CheckBox6">
          <controlPr autoLine="0" linkedCell="X12" r:id="rId23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2" name="CheckBox6"/>
      </mc:Fallback>
    </mc:AlternateContent>
    <mc:AlternateContent xmlns:mc="http://schemas.openxmlformats.org/markup-compatibility/2006">
      <mc:Choice Requires="x14">
        <control shapeId="5132" r:id="rId24" name="CheckBox5">
          <controlPr autoLine="0" linkedCell="X11" r:id="rId25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4" name="CheckBox5"/>
      </mc:Fallback>
    </mc:AlternateContent>
    <mc:AlternateContent xmlns:mc="http://schemas.openxmlformats.org/markup-compatibility/2006">
      <mc:Choice Requires="x14">
        <control shapeId="5131" r:id="rId26" name="CheckBox4">
          <controlPr autoLine="0" linkedCell="X10" r:id="rId27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26" name="CheckBox4"/>
      </mc:Fallback>
    </mc:AlternateContent>
    <mc:AlternateContent xmlns:mc="http://schemas.openxmlformats.org/markup-compatibility/2006">
      <mc:Choice Requires="x14">
        <control shapeId="5130" r:id="rId28" name="CheckBox3">
          <controlPr autoLine="0" linkedCell="X9" r:id="rId29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28" name="CheckBox3"/>
      </mc:Fallback>
    </mc:AlternateContent>
    <mc:AlternateContent xmlns:mc="http://schemas.openxmlformats.org/markup-compatibility/2006">
      <mc:Choice Requires="x14">
        <control shapeId="5129" r:id="rId30" name="CheckBox2">
          <controlPr autoLine="0" linkedCell="X8" r:id="rId31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30" name="CheckBox2"/>
      </mc:Fallback>
    </mc:AlternateContent>
    <mc:AlternateContent xmlns:mc="http://schemas.openxmlformats.org/markup-compatibility/2006">
      <mc:Choice Requires="x14">
        <control shapeId="5128" r:id="rId32" name="CheckBox1">
          <controlPr autoLine="0" linkedCell="X7" r:id="rId33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32" name="CheckBox1"/>
      </mc:Fallback>
    </mc:AlternateContent>
    <mc:AlternateContent xmlns:mc="http://schemas.openxmlformats.org/markup-compatibility/2006">
      <mc:Choice Requires="x14">
        <control shapeId="5141" r:id="rId34" name="CheckBox9">
          <controlPr defaultSize="0" autoLine="0" linkedCell="X15" r:id="rId35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34" name="CheckBox9"/>
      </mc:Fallback>
    </mc:AlternateContent>
    <mc:AlternateContent xmlns:mc="http://schemas.openxmlformats.org/markup-compatibility/2006">
      <mc:Choice Requires="x14">
        <control shapeId="5142" r:id="rId36" name="CheckBox10">
          <controlPr defaultSize="0" autoLine="0" linkedCell="X16" r:id="rId37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36" name="CheckBox10"/>
      </mc:Fallback>
    </mc:AlternateContent>
    <mc:AlternateContent xmlns:mc="http://schemas.openxmlformats.org/markup-compatibility/2006">
      <mc:Choice Requires="x14">
        <control shapeId="5143" r:id="rId38" name="CheckBox11">
          <controlPr autoLine="0" linkedCell="X17" r:id="rId39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38" name="CheckBox11"/>
      </mc:Fallback>
    </mc:AlternateContent>
    <mc:AlternateContent xmlns:mc="http://schemas.openxmlformats.org/markup-compatibility/2006">
      <mc:Choice Requires="x14">
        <control shapeId="5144" r:id="rId40" name="CheckBox12">
          <controlPr autoLine="0" linkedCell="X18" r:id="rId41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40" name="CheckBox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REM-40206-110-106</vt:lpstr>
      <vt:lpstr>'REM-40206-110-106'!Print_Area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nilab</dc:creator>
  <cp:lastModifiedBy>romina shams</cp:lastModifiedBy>
  <cp:lastPrinted>2023-01-17T06:50:05Z</cp:lastPrinted>
  <dcterms:created xsi:type="dcterms:W3CDTF">2017-10-03T08:00:51Z</dcterms:created>
  <dcterms:modified xsi:type="dcterms:W3CDTF">2023-12-13T12:18:58Z</dcterms:modified>
</cp:coreProperties>
</file>