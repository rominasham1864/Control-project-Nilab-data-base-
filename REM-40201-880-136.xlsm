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03CB6E9D-7D7C-4FAA-8ED3-2533E0DD33E1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1-880-136" sheetId="4" r:id="rId1"/>
  </sheets>
  <definedNames>
    <definedName name="_xlnm.Print_Area" localSheetId="0">'REM-40201-880-136'!$B$2:$S$20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<sst xmlns="http://schemas.openxmlformats.org/spreadsheetml/2006/main" count="66" uniqueCount="62">
  <si>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</si>
  <si>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</si>
  <si>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</si>
  <si>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</si>
  <si>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</si>
  <si>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</si>
  <si>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</si>
  <si>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</si>
  <si>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</si>
  <si>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</si>
  <si>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</si>
  <si>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</si>
  <si>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</si>
  <si>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</si>
  <si>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</si>
  <si>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</si>
  <si>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</si>
  <si>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</si>
  <si>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</si>
  <si>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</si>
  <si>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</si>
  <si>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</si>
  <si>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</si>
  <si>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</si>
  <si>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</si>
  <si>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</si>
  <si>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</si>
  <si>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</si>
  <si>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</si>
  <si>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</si>
  <si>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</si>
  <si>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</si>
  <si>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</si>
  <si>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</si>
  <si>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</si>
  <si>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</si>
  <si>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</si>
  <si>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</si>
  <si>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</si>
  <si>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</si>
  <si>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</si>
  <si>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</si>
  <si>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</si>
  <si>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</si>
  <si>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</si>
  <si>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</si>
  <si>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</si>
  <si>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</si>
  <si>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</si>
  <si>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</si>
  <si>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</si>
  <si>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</si>
  <si>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</si>
  <si>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</si>
  <si>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</si>
  <si>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</si>
  <si>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</si>
  <si>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</si>
  <si>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</si>
  <si>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کنس بلبرینگ(قطر خارجی:80 میلیمتر وقطر داخلی:70میلیمتروپهنا:30میلیمتر)</t>
  </si>
  <si>
    <t>پشت بلبرینگهای بلوئرهای هاضم</t>
  </si>
  <si>
    <t>1402/01/29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</si>
</sst>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3" zoomScaleNormal="100" zoomScalePageLayoutView="84" workbookViewId="0">
      <selection activeCell="M8" sqref="M8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76" t="s">
        <v>17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AS2" s="13" t="s">
        <v>36</v>
      </c>
    </row>
    <row r="3" spans="2:49" ht="13.5" customHeight="1" x14ac:dyDescent="0.2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AS3" s="13" t="s">
        <v>37</v>
      </c>
    </row>
    <row r="4" spans="2:49" ht="17.25" customHeight="1" x14ac:dyDescent="0.2">
      <c r="B4" s="82" t="s">
        <v>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4"/>
      <c r="W4" s="1" t="str">
        <f>S6&amp;R6&amp;Q6</f>
        <v>4021136</v>
      </c>
      <c r="AS4" s="2" t="s">
        <v>38</v>
      </c>
    </row>
    <row r="5" spans="2:49" ht="9" customHeight="1" x14ac:dyDescent="0.2">
      <c r="B5" s="85"/>
      <c r="C5" s="86"/>
      <c r="D5" s="86"/>
      <c r="E5" s="86"/>
      <c r="F5" s="86"/>
      <c r="G5" s="83"/>
      <c r="H5" s="83"/>
      <c r="I5" s="83"/>
      <c r="J5" s="83"/>
      <c r="K5" s="83"/>
      <c r="L5" s="83"/>
      <c r="M5" s="86"/>
      <c r="N5" s="86"/>
      <c r="O5" s="86"/>
      <c r="P5" s="86"/>
      <c r="Q5" s="86"/>
      <c r="R5" s="86"/>
      <c r="S5" s="87"/>
      <c r="AS5" s="2" t="s">
        <v>39</v>
      </c>
    </row>
    <row r="6" spans="2:49" s="3" customFormat="1" ht="32.25" customHeight="1" x14ac:dyDescent="0.2">
      <c r="B6" s="88" t="s">
        <v>11</v>
      </c>
      <c r="C6" s="89"/>
      <c r="D6" s="36" t="s">
        <v>22</v>
      </c>
      <c r="E6" s="89" t="s">
        <v>4</v>
      </c>
      <c r="F6" s="89"/>
      <c r="G6" s="24" t="s">
        <v>19</v>
      </c>
      <c r="H6" s="20">
        <f>IF(G6=W7,770,IF(G6=W8,880,IF(G6=W9,777,IF(G6=W10,667,IF(G6=W11,666,IF(G6=W12,110,IF(G6=W13,210,)))))))</f>
        <v>880</v>
      </c>
      <c r="I6" s="90" t="s">
        <v>5</v>
      </c>
      <c r="J6" s="91"/>
      <c r="K6" s="91"/>
      <c r="L6" s="91"/>
      <c r="M6" s="91"/>
      <c r="N6" s="33" t="s">
        <v>61</v>
      </c>
      <c r="O6" s="92" t="s">
        <v>27</v>
      </c>
      <c r="P6" s="93"/>
      <c r="Q6" s="25">
        <v>136</v>
      </c>
      <c r="R6" s="26">
        <v>1</v>
      </c>
      <c r="S6" s="27">
        <v>402</v>
      </c>
      <c r="V6" s="13"/>
      <c r="W6" s="13"/>
      <c r="X6" s="95"/>
      <c r="Y6" s="95"/>
      <c r="Z6" s="95"/>
      <c r="AA6" s="4"/>
      <c r="AS6" s="2" t="s">
        <v>40</v>
      </c>
    </row>
    <row r="7" spans="2:49" s="3" customFormat="1" ht="29.25" customHeight="1" x14ac:dyDescent="0.2">
      <c r="B7" s="12" t="s">
        <v>0</v>
      </c>
      <c r="C7" s="88" t="s">
        <v>3</v>
      </c>
      <c r="D7" s="89"/>
      <c r="E7" s="89"/>
      <c r="F7" s="89"/>
      <c r="G7" s="96"/>
      <c r="H7" s="97"/>
      <c r="I7" s="98" t="s">
        <v>10</v>
      </c>
      <c r="J7" s="99"/>
      <c r="K7" s="32" t="s">
        <v>45</v>
      </c>
      <c r="L7" s="32" t="s">
        <v>46</v>
      </c>
      <c r="M7" s="7" t="s">
        <v>2</v>
      </c>
      <c r="N7" s="16" t="s">
        <v>1</v>
      </c>
      <c r="O7" s="100" t="s">
        <v>12</v>
      </c>
      <c r="P7" s="100"/>
      <c r="Q7" s="100"/>
      <c r="R7" s="100"/>
      <c r="S7" s="10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65" t="s">
        <v>59</v>
      </c>
      <c r="D8" s="66"/>
      <c r="E8" s="66"/>
      <c r="F8" s="66"/>
      <c r="G8" s="66"/>
      <c r="H8" s="67"/>
      <c r="I8" s="63">
        <v>4</v>
      </c>
      <c r="J8" s="64"/>
      <c r="K8" s="41">
        <v>0</v>
      </c>
      <c r="L8" s="39" t="str">
        <f>IF(K8-I8&gt;=0,(I8)&amp;"دریافت از انبار  ",I8-K8&amp;" برای خرید  ")</f>
        <v xml:space="preserve">4 برای خرید  </v>
      </c>
      <c r="M8" s="38" t="s">
        <v>37</v>
      </c>
      <c r="N8" s="23" t="s">
        <v>60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4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55</v>
      </c>
    </row>
    <row r="9" spans="2:49" ht="33.75" customHeight="1" x14ac:dyDescent="0.2">
      <c r="B9" s="5">
        <v>2</v>
      </c>
      <c r="C9" s="65"/>
      <c r="D9" s="66"/>
      <c r="E9" s="66"/>
      <c r="F9" s="66"/>
      <c r="G9" s="66"/>
      <c r="H9" s="67"/>
      <c r="I9" s="63">
        <v>0</v>
      </c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61"/>
      <c r="P9" s="61"/>
      <c r="Q9" s="61"/>
      <c r="R9" s="61"/>
      <c r="S9" s="61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65"/>
      <c r="D10" s="66"/>
      <c r="E10" s="66"/>
      <c r="F10" s="66"/>
      <c r="G10" s="66"/>
      <c r="H10" s="67"/>
      <c r="I10" s="63">
        <v>0</v>
      </c>
      <c r="J10" s="64"/>
      <c r="K10" s="41">
        <v>0</v>
      </c>
      <c r="L10" s="39" t="str">
        <f t="shared" si="0"/>
        <v xml:space="preserve">0دریافت از انبار  </v>
      </c>
      <c r="M10" s="38"/>
      <c r="N10" s="23"/>
      <c r="O10" s="61"/>
      <c r="P10" s="61"/>
      <c r="Q10" s="61"/>
      <c r="R10" s="61"/>
      <c r="S10" s="61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56</v>
      </c>
      <c r="AW10" s="37"/>
    </row>
    <row r="11" spans="2:49" ht="33.75" customHeight="1" x14ac:dyDescent="0.2">
      <c r="B11" s="5">
        <v>4</v>
      </c>
      <c r="C11" s="65"/>
      <c r="D11" s="66"/>
      <c r="E11" s="66"/>
      <c r="F11" s="66"/>
      <c r="G11" s="66"/>
      <c r="H11" s="67"/>
      <c r="I11" s="63">
        <v>0</v>
      </c>
      <c r="J11" s="64"/>
      <c r="K11" s="41">
        <v>0</v>
      </c>
      <c r="L11" s="39" t="str">
        <f t="shared" si="0"/>
        <v xml:space="preserve">0دریافت از انبار  </v>
      </c>
      <c r="M11" s="38"/>
      <c r="N11" s="23"/>
      <c r="O11" s="61"/>
      <c r="P11" s="61"/>
      <c r="Q11" s="61"/>
      <c r="R11" s="61"/>
      <c r="S11" s="61"/>
      <c r="U11" s="40">
        <f t="shared" si="1"/>
        <v>0</v>
      </c>
      <c r="V11" s="2" t="s">
        <v>48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65"/>
      <c r="D12" s="66"/>
      <c r="E12" s="66"/>
      <c r="F12" s="66"/>
      <c r="G12" s="66"/>
      <c r="H12" s="67"/>
      <c r="I12" s="63">
        <v>0</v>
      </c>
      <c r="J12" s="64"/>
      <c r="K12" s="41">
        <v>0</v>
      </c>
      <c r="L12" s="39" t="str">
        <f t="shared" si="0"/>
        <v xml:space="preserve">0دریافت از انبار  </v>
      </c>
      <c r="M12" s="38"/>
      <c r="N12" s="23"/>
      <c r="O12" s="61"/>
      <c r="P12" s="61"/>
      <c r="Q12" s="61"/>
      <c r="R12" s="61"/>
      <c r="S12" s="61"/>
      <c r="U12" s="40">
        <f t="shared" si="1"/>
        <v>0</v>
      </c>
      <c r="V12" s="2" t="s">
        <v>49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68"/>
      <c r="D13" s="69"/>
      <c r="E13" s="69"/>
      <c r="F13" s="69"/>
      <c r="G13" s="69"/>
      <c r="H13" s="67"/>
      <c r="I13" s="63">
        <v>0</v>
      </c>
      <c r="J13" s="64"/>
      <c r="K13" s="41">
        <v>0</v>
      </c>
      <c r="L13" s="39" t="str">
        <f t="shared" si="0"/>
        <v xml:space="preserve">0دریافت از انبار  </v>
      </c>
      <c r="M13" s="38"/>
      <c r="N13" s="23"/>
      <c r="O13" s="62"/>
      <c r="P13" s="62"/>
      <c r="Q13" s="62"/>
      <c r="R13" s="62"/>
      <c r="S13" s="62"/>
      <c r="U13" s="40">
        <f t="shared" si="1"/>
        <v>0</v>
      </c>
      <c r="V13" s="2" t="s">
        <v>50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51</v>
      </c>
      <c r="AU13" s="1" t="s">
        <v>34</v>
      </c>
    </row>
    <row r="14" spans="2:49" s="6" customFormat="1" ht="21" customHeight="1" x14ac:dyDescent="0.2">
      <c r="B14" s="107" t="s">
        <v>6</v>
      </c>
      <c r="C14" s="108"/>
      <c r="D14" s="108"/>
      <c r="E14" s="49" t="s">
        <v>35</v>
      </c>
      <c r="F14" s="50"/>
      <c r="G14" s="51"/>
      <c r="H14" s="109" t="s">
        <v>8</v>
      </c>
      <c r="I14" s="109"/>
      <c r="J14" s="109"/>
      <c r="K14" s="109"/>
      <c r="L14" s="109"/>
      <c r="M14" s="110"/>
      <c r="N14" s="111" t="s">
        <v>9</v>
      </c>
      <c r="O14" s="42"/>
      <c r="P14" s="45"/>
      <c r="Q14" s="42"/>
      <c r="R14" s="56"/>
      <c r="S14" s="57"/>
      <c r="U14" s="102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52</v>
      </c>
    </row>
    <row r="15" spans="2:49" ht="27" customHeight="1" x14ac:dyDescent="0.2">
      <c r="B15" s="70" t="s">
        <v>57</v>
      </c>
      <c r="C15" s="48"/>
      <c r="D15" s="71"/>
      <c r="E15" s="52"/>
      <c r="F15" s="53"/>
      <c r="G15" s="54"/>
      <c r="H15" s="48" t="s">
        <v>32</v>
      </c>
      <c r="I15" s="103"/>
      <c r="J15" s="103"/>
      <c r="K15" s="103"/>
      <c r="L15" s="103"/>
      <c r="M15" s="104"/>
      <c r="N15" s="112"/>
      <c r="O15" s="43"/>
      <c r="P15" s="46"/>
      <c r="Q15" s="43"/>
      <c r="R15" s="56"/>
      <c r="S15" s="58"/>
      <c r="U15" s="102"/>
      <c r="X15" s="28" t="b">
        <v>0</v>
      </c>
      <c r="Y15" s="28"/>
      <c r="Z15" s="28"/>
      <c r="AS15" s="2" t="s">
        <v>53</v>
      </c>
    </row>
    <row r="16" spans="2:49" ht="21.95" customHeight="1" x14ac:dyDescent="0.2">
      <c r="B16" s="72"/>
      <c r="C16" s="48"/>
      <c r="D16" s="71"/>
      <c r="E16" s="49" t="s">
        <v>58</v>
      </c>
      <c r="F16" s="50"/>
      <c r="G16" s="51"/>
      <c r="H16" s="48"/>
      <c r="I16" s="103"/>
      <c r="J16" s="103"/>
      <c r="K16" s="103"/>
      <c r="L16" s="103"/>
      <c r="M16" s="104"/>
      <c r="N16" s="18" t="s">
        <v>25</v>
      </c>
      <c r="O16" s="43"/>
      <c r="P16" s="46"/>
      <c r="Q16" s="43"/>
      <c r="R16" s="56"/>
      <c r="S16" s="58"/>
      <c r="U16" s="102"/>
      <c r="X16" s="28" t="b">
        <v>1</v>
      </c>
      <c r="Y16" s="28"/>
      <c r="Z16" s="28"/>
    </row>
    <row r="17" spans="2:27" s="3" customFormat="1" ht="112.5" customHeight="1" x14ac:dyDescent="0.2">
      <c r="B17" s="73"/>
      <c r="C17" s="74"/>
      <c r="D17" s="75"/>
      <c r="E17" s="52"/>
      <c r="F17" s="53"/>
      <c r="G17" s="54"/>
      <c r="H17" s="21" t="s">
        <v>33</v>
      </c>
      <c r="I17" s="105"/>
      <c r="J17" s="105"/>
      <c r="K17" s="105"/>
      <c r="L17" s="105"/>
      <c r="M17" s="106"/>
      <c r="N17" s="34" t="s">
        <v>47</v>
      </c>
      <c r="O17" s="44"/>
      <c r="P17" s="47"/>
      <c r="Q17" s="44"/>
      <c r="R17" s="56"/>
      <c r="S17" s="59"/>
      <c r="U17" s="102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4" t="s">
        <v>54</v>
      </c>
      <c r="Q18" s="94"/>
      <c r="R18" s="94"/>
      <c r="S18" s="94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">
      <c r="D21" s="10"/>
      <c r="E21" s="10"/>
      <c r="X21" s="28" t="b">
        <v>1</v>
      </c>
      <c r="Y21" s="28"/>
      <c r="Z21" s="28"/>
    </row>
    <row r="22" spans="2:27" x14ac:dyDescent="0.2">
      <c r="X22" s="28" t="b">
        <v>1</v>
      </c>
    </row>
  </sheetData>
  <sheetProtection algorithmName="SHA-512" hashValue="yMFSg1UUCBB2TDIKvLtsO+9b/Bn57f7RiWLKr/XpOrvBdwM3Cg6+0Uy/1f0hB3PrHTs5k4Ns8msda3BpM1pmNQ==" saltValue="mufh9w7mIXnPCu8dSrBVrQ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REM-40201-880-136</vt:lpstr>
      <vt:lpstr>'REM-40201-880-136'!Print_Area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2023-07-31T09:22:53Z</dcterms:modified>
</cp:coreProperties>
</file>