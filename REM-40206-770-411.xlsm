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lab\Downloads\"/>
    </mc:Choice>
  </mc:AlternateContent>
  <xr:revisionPtr revIDLastSave="0" documentId="13_ncr:1_{F48125FD-D3FC-4252-81B6-C2B13319C7DC}" xr6:coauthVersionLast="47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M-40206-770-411" sheetId="4" r:id="rId1"/>
  </sheets>
  <definedNames>
    <definedName name="_xlnm.Print_Area" localSheetId="0">'REM-40206-770-411'!$B$2:$S$20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<sst xmlns="http://schemas.openxmlformats.org/spreadsheetml/2006/main" count="66" uniqueCount="62">
  <si>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</si>
  <si>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</si>
  <si>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</si>
  <si>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</si>
  <si>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</si>
  <si>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</si>
  <si>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</si>
  <si>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</si>
  <si>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</si>
  <si>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</si>
  <si>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</si>
  <si>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</si>
  <si>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</si>
  <si>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</si>
  <si>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</si>
  <si>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</si>
  <si>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</si>
  <si>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</si>
  <si>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</si>
  <si>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</si>
  <si>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</si>
  <si>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</si>
  <si>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</si>
  <si>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</si>
  <si>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</si>
  <si>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</si>
  <si>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</si>
  <si>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</si>
  <si>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</si>
  <si>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</si>
  <si>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</si>
  <si>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</si>
  <si>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</si>
  <si>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</si>
  <si>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</si>
  <si>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</si>
  <si>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</si>
  <si>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</si>
  <si>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</si>
  <si>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</si>
  <si>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</si>
  <si>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</si>
  <si>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</si>
  <si>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</si>
  <si>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</si>
  <si>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</si>
  <si>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</si>
  <si>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</si>
  <si>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</si>
  <si>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</si>
  <si>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</si>
  <si>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</si>
  <si>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</si>
  <si>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</si>
  <si>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</si>
  <si>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</si>
  <si>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</si>
  <si>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</si>
  <si>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1402/06/12</t>
  </si>
  <si>
    <t>گاز کلر (تاریخ 1402/06/30 در سایت باشد)</t>
  </si>
  <si>
    <t>کلرزنی</t>
  </si>
  <si>
    <t>1402/06/13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</si>
</sst>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18.emf"/><Relationship Id="rId17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10.emf"/><Relationship Id="rId15" Type="http://schemas.openxmlformats.org/officeDocument/2006/relationships/image" Target="../media/image4.emf"/><Relationship Id="rId10" Type="http://schemas.openxmlformats.org/officeDocument/2006/relationships/image" Target="../media/image16.emf"/><Relationship Id="rId4" Type="http://schemas.openxmlformats.org/officeDocument/2006/relationships/image" Target="../media/image11.emf"/><Relationship Id="rId9" Type="http://schemas.openxmlformats.org/officeDocument/2006/relationships/image" Target="../media/image15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2"/>
  <sheetViews>
    <sheetView showGridLines="0" showRowColHeaders="0" rightToLeft="1" tabSelected="1" topLeftCell="A13" zoomScaleNormal="100" zoomScalePageLayoutView="84" workbookViewId="0">
      <selection activeCell="N17" sqref="N17"/>
    </sheetView>
  </sheetViews>
  <sheetFormatPr defaultColWidth="8.25" defaultRowHeight="18" x14ac:dyDescent="0.2"/>
  <cols>
    <col min="1" max="1" width="4.75" style="1" customWidth="1"/>
    <col min="2" max="2" width="3.25" style="2" customWidth="1"/>
    <col min="3" max="3" width="10.375" style="1" customWidth="1"/>
    <col min="4" max="4" width="8.25" style="1" customWidth="1"/>
    <col min="5" max="6" width="3.75" style="1" customWidth="1"/>
    <col min="7" max="7" width="15.625" style="1" customWidth="1"/>
    <col min="8" max="8" width="16.875" style="1" customWidth="1"/>
    <col min="9" max="9" width="2.75" style="1" customWidth="1"/>
    <col min="10" max="10" width="5.75" style="1" customWidth="1"/>
    <col min="11" max="11" width="7.75" style="1" customWidth="1"/>
    <col min="12" max="12" width="14.125" style="1" customWidth="1"/>
    <col min="13" max="13" width="7.875" style="1" customWidth="1"/>
    <col min="14" max="14" width="26.625" style="1" customWidth="1"/>
    <col min="15" max="15" width="6.125" style="1" customWidth="1"/>
    <col min="16" max="16" width="6.875" style="1" customWidth="1"/>
    <col min="17" max="19" width="5.75" style="1" customWidth="1"/>
    <col min="20" max="20" width="7.875" style="1" hidden="1" customWidth="1"/>
    <col min="21" max="21" width="8.25" style="1" hidden="1" customWidth="1"/>
    <col min="22" max="22" width="10.25" style="1" hidden="1" customWidth="1"/>
    <col min="23" max="23" width="14.75" style="1" hidden="1" customWidth="1"/>
    <col min="24" max="25" width="8.25" style="1" hidden="1" customWidth="1"/>
    <col min="26" max="26" width="5.75" style="1" hidden="1" customWidth="1"/>
    <col min="27" max="27" width="7.25" style="4" hidden="1" customWidth="1"/>
    <col min="28" max="33" width="4.75" style="1" hidden="1" customWidth="1"/>
    <col min="34" max="47" width="8.25" style="1" hidden="1" customWidth="1"/>
    <col min="48" max="58" width="8.25" style="1" customWidth="1"/>
    <col min="59" max="59" width="7.875" style="1" customWidth="1"/>
    <col min="60" max="61" width="8.25" style="1" customWidth="1"/>
    <col min="62" max="16384" width="8.25" style="1"/>
  </cols>
  <sheetData>
    <row r="1" spans="2:49" ht="12" customHeight="1" x14ac:dyDescent="0.2"/>
    <row r="2" spans="2:49" ht="15.75" customHeight="1" x14ac:dyDescent="0.2">
      <c r="B2" s="68" t="s">
        <v>17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  <c r="AS2" s="13" t="s">
        <v>36</v>
      </c>
    </row>
    <row r="3" spans="2:49" ht="13.5" customHeight="1" x14ac:dyDescent="0.2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  <c r="AS3" s="13" t="s">
        <v>37</v>
      </c>
    </row>
    <row r="4" spans="2:49" ht="17.25" customHeight="1" x14ac:dyDescent="0.2">
      <c r="B4" s="74" t="s">
        <v>7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6"/>
      <c r="W4" s="1" t="str">
        <f>S6&amp;R6&amp;Q6</f>
        <v>4026411</v>
      </c>
      <c r="AS4" s="2" t="s">
        <v>38</v>
      </c>
    </row>
    <row r="5" spans="2:49" ht="9" customHeight="1" x14ac:dyDescent="0.2">
      <c r="B5" s="77"/>
      <c r="C5" s="78"/>
      <c r="D5" s="78"/>
      <c r="E5" s="78"/>
      <c r="F5" s="78"/>
      <c r="G5" s="75"/>
      <c r="H5" s="75"/>
      <c r="I5" s="75"/>
      <c r="J5" s="75"/>
      <c r="K5" s="75"/>
      <c r="L5" s="75"/>
      <c r="M5" s="78"/>
      <c r="N5" s="78"/>
      <c r="O5" s="78"/>
      <c r="P5" s="78"/>
      <c r="Q5" s="78"/>
      <c r="R5" s="78"/>
      <c r="S5" s="79"/>
      <c r="AS5" s="2" t="s">
        <v>39</v>
      </c>
    </row>
    <row r="6" spans="2:49" s="3" customFormat="1" ht="32.25" customHeight="1" x14ac:dyDescent="0.2">
      <c r="B6" s="44" t="s">
        <v>11</v>
      </c>
      <c r="C6" s="45"/>
      <c r="D6" s="36" t="s">
        <v>23</v>
      </c>
      <c r="E6" s="45" t="s">
        <v>4</v>
      </c>
      <c r="F6" s="45"/>
      <c r="G6" s="24" t="s">
        <v>18</v>
      </c>
      <c r="H6" s="20">
        <f>IF(G6=W7,770,IF(G6=W8,880,IF(G6=W9,777,IF(G6=W10,667,IF(G6=W11,666,IF(G6=W12,110,IF(G6=W13,210,)))))))</f>
        <v>770</v>
      </c>
      <c r="I6" s="80" t="s">
        <v>5</v>
      </c>
      <c r="J6" s="81"/>
      <c r="K6" s="81"/>
      <c r="L6" s="81"/>
      <c r="M6" s="81"/>
      <c r="N6" s="33" t="s">
        <v>58</v>
      </c>
      <c r="O6" s="82" t="s">
        <v>27</v>
      </c>
      <c r="P6" s="83"/>
      <c r="Q6" s="25">
        <v>411</v>
      </c>
      <c r="R6" s="26">
        <v>6</v>
      </c>
      <c r="S6" s="27">
        <v>402</v>
      </c>
      <c r="V6" s="13"/>
      <c r="W6" s="13"/>
      <c r="X6" s="43"/>
      <c r="Y6" s="43"/>
      <c r="Z6" s="43"/>
      <c r="AA6" s="4"/>
      <c r="AS6" s="2" t="s">
        <v>40</v>
      </c>
    </row>
    <row r="7" spans="2:49" s="3" customFormat="1" ht="29.25" customHeight="1" x14ac:dyDescent="0.2">
      <c r="B7" s="12" t="s">
        <v>0</v>
      </c>
      <c r="C7" s="44" t="s">
        <v>3</v>
      </c>
      <c r="D7" s="45"/>
      <c r="E7" s="45"/>
      <c r="F7" s="45"/>
      <c r="G7" s="46"/>
      <c r="H7" s="47"/>
      <c r="I7" s="48" t="s">
        <v>10</v>
      </c>
      <c r="J7" s="49"/>
      <c r="K7" s="32" t="s">
        <v>45</v>
      </c>
      <c r="L7" s="32" t="s">
        <v>46</v>
      </c>
      <c r="M7" s="7" t="s">
        <v>2</v>
      </c>
      <c r="N7" s="16" t="s">
        <v>1</v>
      </c>
      <c r="O7" s="50" t="s">
        <v>12</v>
      </c>
      <c r="P7" s="50"/>
      <c r="Q7" s="50"/>
      <c r="R7" s="50"/>
      <c r="S7" s="5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">
      <c r="B8" s="5">
        <v>1</v>
      </c>
      <c r="C8" s="54" t="s">
        <v>59</v>
      </c>
      <c r="D8" s="55"/>
      <c r="E8" s="55"/>
      <c r="F8" s="55"/>
      <c r="G8" s="55"/>
      <c r="H8" s="56"/>
      <c r="I8" s="52">
        <v>10400</v>
      </c>
      <c r="J8" s="53"/>
      <c r="K8" s="41">
        <v>0</v>
      </c>
      <c r="L8" s="39" t="str">
        <f>IF(K8-I8&gt;=0,(I8)&amp;"دریافت از انبار  ",I8-K8&amp;" برای خرید  ")</f>
        <v xml:space="preserve">10400 برای خرید  </v>
      </c>
      <c r="M8" s="38" t="s">
        <v>41</v>
      </c>
      <c r="N8" s="23" t="s">
        <v>60</v>
      </c>
      <c r="O8" s="92" t="s">
        <v>14</v>
      </c>
      <c r="P8" s="92" t="s">
        <v>13</v>
      </c>
      <c r="Q8" s="92" t="s">
        <v>24</v>
      </c>
      <c r="R8" s="92" t="s">
        <v>15</v>
      </c>
      <c r="S8" s="92" t="s">
        <v>16</v>
      </c>
      <c r="U8" s="40">
        <f>I8</f>
        <v>10400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">
      <c r="B9" s="5">
        <v>2</v>
      </c>
      <c r="C9" s="54"/>
      <c r="D9" s="55"/>
      <c r="E9" s="55"/>
      <c r="F9" s="55"/>
      <c r="G9" s="55"/>
      <c r="H9" s="56"/>
      <c r="I9" s="52">
        <v>0</v>
      </c>
      <c r="J9" s="53"/>
      <c r="K9" s="41">
        <v>0</v>
      </c>
      <c r="L9" s="39" t="str">
        <f t="shared" ref="L9:L13" si="0">IF(K9-I9&gt;=0,(I9)&amp;"دریافت از انبار  ",I9-K9&amp;" برای خرید  ")</f>
        <v xml:space="preserve">0دریافت از انبار  </v>
      </c>
      <c r="M9" s="38"/>
      <c r="N9" s="23"/>
      <c r="O9" s="93"/>
      <c r="P9" s="93"/>
      <c r="Q9" s="93"/>
      <c r="R9" s="93"/>
      <c r="S9" s="93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">
      <c r="B10" s="5">
        <v>3</v>
      </c>
      <c r="C10" s="54"/>
      <c r="D10" s="55"/>
      <c r="E10" s="55"/>
      <c r="F10" s="55"/>
      <c r="G10" s="55"/>
      <c r="H10" s="56"/>
      <c r="I10" s="52">
        <v>0</v>
      </c>
      <c r="J10" s="53"/>
      <c r="K10" s="41">
        <v>0</v>
      </c>
      <c r="L10" s="39" t="str">
        <f t="shared" si="0"/>
        <v xml:space="preserve">0دریافت از انبار  </v>
      </c>
      <c r="M10" s="38"/>
      <c r="N10" s="23"/>
      <c r="O10" s="93"/>
      <c r="P10" s="93"/>
      <c r="Q10" s="93"/>
      <c r="R10" s="93"/>
      <c r="S10" s="93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">
      <c r="B11" s="5">
        <v>4</v>
      </c>
      <c r="C11" s="54"/>
      <c r="D11" s="55"/>
      <c r="E11" s="55"/>
      <c r="F11" s="55"/>
      <c r="G11" s="55"/>
      <c r="H11" s="56"/>
      <c r="I11" s="52">
        <v>0</v>
      </c>
      <c r="J11" s="53"/>
      <c r="K11" s="41">
        <v>0</v>
      </c>
      <c r="L11" s="39" t="str">
        <f t="shared" si="0"/>
        <v xml:space="preserve">0دریافت از انبار  </v>
      </c>
      <c r="M11" s="38"/>
      <c r="N11" s="23"/>
      <c r="O11" s="93"/>
      <c r="P11" s="93"/>
      <c r="Q11" s="93"/>
      <c r="R11" s="93"/>
      <c r="S11" s="93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">
      <c r="B12" s="5">
        <v>5</v>
      </c>
      <c r="C12" s="54"/>
      <c r="D12" s="55"/>
      <c r="E12" s="55"/>
      <c r="F12" s="55"/>
      <c r="G12" s="55"/>
      <c r="H12" s="56"/>
      <c r="I12" s="52">
        <v>0</v>
      </c>
      <c r="J12" s="53"/>
      <c r="K12" s="41">
        <v>0</v>
      </c>
      <c r="L12" s="39" t="str">
        <f t="shared" si="0"/>
        <v xml:space="preserve">0دریافت از انبار  </v>
      </c>
      <c r="M12" s="38"/>
      <c r="N12" s="23"/>
      <c r="O12" s="93"/>
      <c r="P12" s="93"/>
      <c r="Q12" s="93"/>
      <c r="R12" s="93"/>
      <c r="S12" s="93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">
      <c r="B13" s="22">
        <v>6</v>
      </c>
      <c r="C13" s="95"/>
      <c r="D13" s="96"/>
      <c r="E13" s="96"/>
      <c r="F13" s="96"/>
      <c r="G13" s="96"/>
      <c r="H13" s="56"/>
      <c r="I13" s="52">
        <v>0</v>
      </c>
      <c r="J13" s="53"/>
      <c r="K13" s="41">
        <v>0</v>
      </c>
      <c r="L13" s="39" t="str">
        <f t="shared" si="0"/>
        <v xml:space="preserve">0دریافت از انبار  </v>
      </c>
      <c r="M13" s="38"/>
      <c r="N13" s="23"/>
      <c r="O13" s="94"/>
      <c r="P13" s="94"/>
      <c r="Q13" s="94"/>
      <c r="R13" s="94"/>
      <c r="S13" s="94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">
      <c r="B14" s="62" t="s">
        <v>6</v>
      </c>
      <c r="C14" s="63"/>
      <c r="D14" s="63"/>
      <c r="E14" s="107" t="s">
        <v>35</v>
      </c>
      <c r="F14" s="108"/>
      <c r="G14" s="109"/>
      <c r="H14" s="64" t="s">
        <v>8</v>
      </c>
      <c r="I14" s="64"/>
      <c r="J14" s="64"/>
      <c r="K14" s="64"/>
      <c r="L14" s="64"/>
      <c r="M14" s="65"/>
      <c r="N14" s="66" t="s">
        <v>9</v>
      </c>
      <c r="O14" s="85"/>
      <c r="P14" s="104"/>
      <c r="Q14" s="85"/>
      <c r="R14" s="88"/>
      <c r="S14" s="89"/>
      <c r="U14" s="57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">
      <c r="B15" s="97" t="s">
        <v>56</v>
      </c>
      <c r="C15" s="98"/>
      <c r="D15" s="99"/>
      <c r="E15" s="110"/>
      <c r="F15" s="111"/>
      <c r="G15" s="112"/>
      <c r="H15" s="98" t="s">
        <v>32</v>
      </c>
      <c r="I15" s="58"/>
      <c r="J15" s="58"/>
      <c r="K15" s="58"/>
      <c r="L15" s="58"/>
      <c r="M15" s="59"/>
      <c r="N15" s="67"/>
      <c r="O15" s="86"/>
      <c r="P15" s="105"/>
      <c r="Q15" s="86"/>
      <c r="R15" s="88"/>
      <c r="S15" s="90"/>
      <c r="U15" s="57"/>
      <c r="X15" s="28" t="b">
        <v>0</v>
      </c>
      <c r="Y15" s="28"/>
      <c r="Z15" s="28"/>
      <c r="AS15" s="2" t="s">
        <v>52</v>
      </c>
    </row>
    <row r="16" spans="2:49" ht="21.95" customHeight="1" x14ac:dyDescent="0.2">
      <c r="B16" s="100"/>
      <c r="C16" s="98"/>
      <c r="D16" s="99"/>
      <c r="E16" s="107" t="s">
        <v>57</v>
      </c>
      <c r="F16" s="108"/>
      <c r="G16" s="109"/>
      <c r="H16" s="98"/>
      <c r="I16" s="58"/>
      <c r="J16" s="58"/>
      <c r="K16" s="58"/>
      <c r="L16" s="58"/>
      <c r="M16" s="59"/>
      <c r="N16" s="18" t="s">
        <v>25</v>
      </c>
      <c r="O16" s="86"/>
      <c r="P16" s="105"/>
      <c r="Q16" s="86"/>
      <c r="R16" s="88"/>
      <c r="S16" s="90"/>
      <c r="U16" s="57"/>
      <c r="X16" s="28" t="b">
        <v>0</v>
      </c>
      <c r="Y16" s="28"/>
      <c r="Z16" s="28"/>
    </row>
    <row r="17" spans="2:27" s="3" customFormat="1" ht="112.5" customHeight="1" x14ac:dyDescent="0.2">
      <c r="B17" s="101"/>
      <c r="C17" s="102"/>
      <c r="D17" s="103"/>
      <c r="E17" s="110"/>
      <c r="F17" s="111"/>
      <c r="G17" s="112"/>
      <c r="H17" s="21" t="s">
        <v>33</v>
      </c>
      <c r="I17" s="60"/>
      <c r="J17" s="60"/>
      <c r="K17" s="60"/>
      <c r="L17" s="60"/>
      <c r="M17" s="61"/>
      <c r="N17" s="34" t="s">
        <v>61</v>
      </c>
      <c r="O17" s="87"/>
      <c r="P17" s="106"/>
      <c r="Q17" s="87"/>
      <c r="R17" s="88"/>
      <c r="S17" s="91"/>
      <c r="U17" s="57"/>
      <c r="X17" s="30" t="b">
        <v>1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2" t="s">
        <v>53</v>
      </c>
      <c r="Q18" s="42"/>
      <c r="R18" s="42"/>
      <c r="S18" s="42"/>
      <c r="X18" s="28" t="b">
        <v>0</v>
      </c>
      <c r="Y18" s="28"/>
      <c r="Z18" s="28"/>
    </row>
    <row r="19" spans="2:27" ht="18" customHeight="1" x14ac:dyDescent="0.2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X20" s="31" t="b">
        <v>0</v>
      </c>
      <c r="Y20" s="31"/>
      <c r="Z20" s="31"/>
    </row>
    <row r="21" spans="2:27" x14ac:dyDescent="0.2">
      <c r="D21" s="10"/>
      <c r="E21" s="10"/>
      <c r="X21" s="28" t="b">
        <v>1</v>
      </c>
      <c r="Y21" s="28"/>
      <c r="Z21" s="28"/>
    </row>
    <row r="22" spans="2:27" x14ac:dyDescent="0.2">
      <c r="X22" s="28" t="b">
        <v>1</v>
      </c>
    </row>
  </sheetData>
  <sheetProtection algorithmName="SHA-512" hashValue="1q1lRzYMAsW5uHpBQB+lMw9FdY6SeQZgdvDKwGCn7VP+eQiYeuxl69MVVnbqQjy/h9ZSobntloznvcYr4atadw==" saltValue="yb4tMLXzL/175+z+26B+Ug==" spinCount="100000" sheet="1" objects="1" scenarios="1" selectLockedCells="1"/>
  <mergeCells count="43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M8:M13" xr:uid="{DADA7B3B-2D80-4FA5-9CEC-27D0E4E16E31}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52" r:id="rId4" name="CheckBox19">
          <controlPr defaultSize="0" autoLine="0" linkedCell="X22" r:id="rId5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4" name="CheckBox19"/>
      </mc:Fallback>
    </mc:AlternateContent>
    <mc:AlternateContent xmlns:mc="http://schemas.openxmlformats.org/markup-compatibility/2006">
      <mc:Choice Requires="x14">
        <control shapeId="5151" r:id="rId6" name="CheckBox18">
          <controlPr defaultSize="0" autoLine="0" r:id="rId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6" name="CheckBox18"/>
      </mc:Fallback>
    </mc:AlternateContent>
    <mc:AlternateContent xmlns:mc="http://schemas.openxmlformats.org/markup-compatibility/2006">
      <mc:Choice Requires="x14">
        <control shapeId="5149" r:id="rId8" name="CheckBox17">
          <controlPr defaultSize="0" autoLine="0" r:id="rId9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8" name="CheckBox17"/>
      </mc:Fallback>
    </mc:AlternateContent>
    <mc:AlternateContent xmlns:mc="http://schemas.openxmlformats.org/markup-compatibility/2006">
      <mc:Choice Requires="x14">
        <control shapeId="5148" r:id="rId10" name="CheckBox16">
          <controlPr defaultSize="0" autoLine="0" r:id="rId11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10" name="CheckBox16"/>
      </mc:Fallback>
    </mc:AlternateContent>
    <mc:AlternateContent xmlns:mc="http://schemas.openxmlformats.org/markup-compatibility/2006">
      <mc:Choice Requires="x14">
        <control shapeId="5147" r:id="rId12" name="CheckBox15">
          <controlPr defaultSize="0" autoLine="0" linkedCell="X21" r:id="rId13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12" name="CheckBox15"/>
      </mc:Fallback>
    </mc:AlternateContent>
    <mc:AlternateContent xmlns:mc="http://schemas.openxmlformats.org/markup-compatibility/2006">
      <mc:Choice Requires="x14">
        <control shapeId="5146" r:id="rId14" name="CheckBox14">
          <controlPr defaultSize="0" autoLine="0" linkedCell="X19" r:id="rId15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14" name="CheckBox14"/>
      </mc:Fallback>
    </mc:AlternateContent>
    <mc:AlternateContent xmlns:mc="http://schemas.openxmlformats.org/markup-compatibility/2006">
      <mc:Choice Requires="x14">
        <control shapeId="5135" r:id="rId16" name="CheckBox8">
          <controlPr defaultSize="0" autoLine="0" linkedCell="X14" r:id="rId1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6" name="CheckBox8"/>
      </mc:Fallback>
    </mc:AlternateContent>
    <mc:AlternateContent xmlns:mc="http://schemas.openxmlformats.org/markup-compatibility/2006">
      <mc:Choice Requires="x14">
        <control shapeId="5134" r:id="rId18" name="CheckBox7">
          <controlPr autoLine="0" linkedCell="X13" r:id="rId19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18" name="CheckBox7"/>
      </mc:Fallback>
    </mc:AlternateContent>
    <mc:AlternateContent xmlns:mc="http://schemas.openxmlformats.org/markup-compatibility/2006">
      <mc:Choice Requires="x14">
        <control shapeId="5133" r:id="rId20" name="CheckBox6">
          <controlPr autoLine="0" linkedCell="X12" r:id="rId21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0" name="CheckBox6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1" r:id="rId24" name="CheckBox4">
          <controlPr autoLine="0" linkedCell="X10" r:id="rId25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24" name="CheckBox4"/>
      </mc:Fallback>
    </mc:AlternateContent>
    <mc:AlternateContent xmlns:mc="http://schemas.openxmlformats.org/markup-compatibility/2006">
      <mc:Choice Requires="x14">
        <control shapeId="5130" r:id="rId26" name="CheckBox3">
          <controlPr autoLine="0" linkedCell="X9" r:id="rId2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26" name="CheckBox3"/>
      </mc:Fallback>
    </mc:AlternateContent>
    <mc:AlternateContent xmlns:mc="http://schemas.openxmlformats.org/markup-compatibility/2006">
      <mc:Choice Requires="x14">
        <control shapeId="5129" r:id="rId28" name="CheckBox2">
          <controlPr autoLine="0" linkedCell="X8" r:id="rId29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28" name="CheckBox2"/>
      </mc:Fallback>
    </mc:AlternateContent>
    <mc:AlternateContent xmlns:mc="http://schemas.openxmlformats.org/markup-compatibility/2006">
      <mc:Choice Requires="x14">
        <control shapeId="5128" r:id="rId30" name="CheckBox1">
          <controlPr autoLine="0" linkedCell="X7" r:id="rId31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30" name="CheckBox1"/>
      </mc:Fallback>
    </mc:AlternateContent>
    <mc:AlternateContent xmlns:mc="http://schemas.openxmlformats.org/markup-compatibility/2006">
      <mc:Choice Requires="x14">
        <control shapeId="5141" r:id="rId32" name="CheckBox9">
          <controlPr defaultSize="0" autoLine="0" linkedCell="X15" r:id="rId33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32" name="CheckBox9"/>
      </mc:Fallback>
    </mc:AlternateContent>
    <mc:AlternateContent xmlns:mc="http://schemas.openxmlformats.org/markup-compatibility/2006">
      <mc:Choice Requires="x14">
        <control shapeId="5142" r:id="rId34" name="CheckBox10">
          <controlPr defaultSize="0" autoLine="0" linkedCell="X16" r:id="rId35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34" name="CheckBox10"/>
      </mc:Fallback>
    </mc:AlternateContent>
    <mc:AlternateContent xmlns:mc="http://schemas.openxmlformats.org/markup-compatibility/2006">
      <mc:Choice Requires="x14">
        <control shapeId="5143" r:id="rId36" name="CheckBox11">
          <controlPr autoLine="0" linkedCell="X17" r:id="rId3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6" name="CheckBox11"/>
      </mc:Fallback>
    </mc:AlternateContent>
    <mc:AlternateContent xmlns:mc="http://schemas.openxmlformats.org/markup-compatibility/2006">
      <mc:Choice Requires="x14">
        <control shapeId="5144" r:id="rId38" name="CheckBox12">
          <controlPr autoLine="0" linkedCell="X18" r:id="rId39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38" name="CheckBox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REM-40206-770-411</vt:lpstr>
      <vt:lpstr>'REM-40206-770-411'!Print_Area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nilab</cp:lastModifiedBy>
  <cp:lastPrinted>2023-01-17T06:50:05Z</cp:lastPrinted>
  <dcterms:created xsi:type="dcterms:W3CDTF">2017-10-03T08:00:51Z</dcterms:created>
  <dcterms:modified xsi:type="dcterms:W3CDTF">2023-09-04T04:13:01Z</dcterms:modified>
</cp:coreProperties>
</file>