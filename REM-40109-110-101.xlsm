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\Department\Archive\1. Projects\کنترل درخواست های کالا\REM-40109-101\"/>
    </mc:Choice>
  </mc:AlternateContent>
  <bookViews>
    <workbookView xWindow="-120" yWindow="-120" windowWidth="24240" windowHeight="13140" tabRatio="586"/>
  </bookViews>
  <sheets>
    <sheet name="REM-40109-110-101" sheetId="4" r:id="rId1"/>
  </sheets>
  <definedNames>
    <definedName name="_xlnm.Print_Area" localSheetId="0">'REM-40109-110-101'!$B$2:$S$20</definedName>
  </definedNames>
  <calcPr calcId="162913"/>
</workbook>
</file>

<file path=xl/calcChain.xml><?xml version="1.0" encoding="utf-8"?>
<calcChain xmlns="http://schemas.openxmlformats.org/spreadsheetml/2006/main">
  <c r="W14" i="4" l="1"/>
  <c r="H6" i="4" l="1"/>
  <c r="L9" i="4" l="1"/>
  <c r="L10" i="4"/>
  <c r="L11" i="4"/>
  <c r="L12" i="4"/>
  <c r="L13" i="4"/>
  <c r="L8" i="4"/>
  <c r="AA9" i="4" l="1"/>
  <c r="W4" i="4"/>
</calcChain>
</file>

<file path=xl/sharedStrings.xml><?xml version="1.0" encoding="utf-8"?>
<sst xmlns="http://schemas.openxmlformats.org/spreadsheetml/2006/main" count="63" uniqueCount="56">
  <si>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</si>
  <si>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</si>
  <si>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</si>
  <si>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</si>
  <si>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</si>
  <si>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</si>
  <si>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</si>
  <si>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</si>
  <si>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</si>
  <si>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</si>
  <si>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</si>
  <si>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</si>
  <si>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</si>
  <si>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</si>
  <si>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</si>
  <si>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</si>
  <si>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</si>
  <si>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</si>
  <si>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</si>
  <si>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</si>
  <si>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</si>
  <si>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</si>
  <si>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</si>
  <si>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</si>
  <si>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</si>
  <si>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</si>
  <si>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</si>
  <si>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</si>
  <si>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</si>
  <si>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</si>
  <si>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</si>
  <si>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</si>
  <si>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</si>
  <si>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</si>
  <si>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</si>
  <si>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مدیر / سرپرست کارگاه/سایت:                                                            تایید:                    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</si>
  <si>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</si>
  <si>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</si>
  <si>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</si>
  <si>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</si>
  <si>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</si>
  <si>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</si>
  <si>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</si>
  <si>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</si>
  <si>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</si>
  <si>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</si>
  <si>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</si>
  <si>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</si>
  <si>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</si>
  <si>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</si>
  <si>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r>
      <t xml:space="preserve">برق:                                       مکانیک:                               بهره برداری:                          آزمایشگاه:    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اداری:                                      مدیرتصفیه خانه:</t>
    </r>
  </si>
  <si>
    <t>REM-401XX-XXX-XXX-rev05</t>
  </si>
  <si>
    <t>دفتر پشتیبانی فنی</t>
  </si>
  <si>
    <t>موس و کیبورد رپو -RAPPO-X1800-Pro</t>
  </si>
  <si>
    <t xml:space="preserve"> تعویض یک دستگاه کیبورد 1800S با 1800PRO</t>
  </si>
  <si>
    <t>1401/09/28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</si>
</sst>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60429]dd/mm/yyyy;@"/>
  </numFmts>
  <fonts count="15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" fontId="8" fillId="0" borderId="4" xfId="0" applyNumberFormat="1" applyFont="1" applyBorder="1" applyAlignment="1" applyProtection="1">
      <alignment horizontal="center" vertical="center" readingOrder="2"/>
      <protection locked="0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1" fontId="8" fillId="0" borderId="4" xfId="0" applyNumberFormat="1" applyFont="1" applyBorder="1" applyAlignment="1">
      <alignment horizontal="center" vertical="center" readingOrder="2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5" fillId="0" borderId="0" xfId="0" applyFont="1" applyAlignment="1">
      <alignment horizontal="right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1" fontId="8" fillId="0" borderId="2" xfId="0" applyNumberFormat="1" applyFont="1" applyBorder="1" applyAlignment="1" applyProtection="1">
      <alignment horizontal="center" vertical="center" readingOrder="2"/>
      <protection locked="0"/>
    </xf>
    <xf numFmtId="1" fontId="8" fillId="0" borderId="4" xfId="0" applyNumberFormat="1" applyFont="1" applyBorder="1" applyAlignment="1" applyProtection="1">
      <alignment horizontal="center" vertical="center" readingOrder="2"/>
      <protection locked="0"/>
    </xf>
    <xf numFmtId="49" fontId="8" fillId="0" borderId="2" xfId="0" applyNumberFormat="1" applyFont="1" applyBorder="1" applyAlignment="1" applyProtection="1">
      <alignment horizontal="center" vertical="center" readingOrder="2"/>
      <protection locked="0"/>
    </xf>
    <xf numFmtId="49" fontId="8" fillId="0" borderId="3" xfId="0" applyNumberFormat="1" applyFont="1" applyBorder="1" applyAlignment="1" applyProtection="1">
      <alignment horizontal="center" vertical="center" readingOrder="2"/>
      <protection locked="0"/>
    </xf>
    <xf numFmtId="49" fontId="8" fillId="0" borderId="4" xfId="0" applyNumberFormat="1" applyFont="1" applyBorder="1" applyAlignment="1" applyProtection="1">
      <alignment horizontal="center" vertical="center" readingOrder="2"/>
      <protection locked="0"/>
    </xf>
    <xf numFmtId="49" fontId="8" fillId="0" borderId="6" xfId="0" applyNumberFormat="1" applyFont="1" applyBorder="1" applyAlignment="1" applyProtection="1">
      <alignment horizontal="center" vertical="center" readingOrder="2"/>
      <protection locked="0"/>
    </xf>
    <xf numFmtId="49" fontId="8" fillId="0" borderId="5" xfId="0" applyNumberFormat="1" applyFont="1" applyBorder="1" applyAlignment="1" applyProtection="1">
      <alignment horizontal="center" vertical="center" readingOrder="2"/>
      <protection locked="0"/>
    </xf>
    <xf numFmtId="0" fontId="3" fillId="0" borderId="10" xfId="0" applyFont="1" applyBorder="1" applyAlignment="1">
      <alignment horizontal="right" vertical="top" wrapText="1" readingOrder="2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10" xfId="0" applyFont="1" applyBorder="1" applyAlignment="1">
      <alignment horizontal="right" vertical="top" wrapText="1" readingOrder="2"/>
    </xf>
    <xf numFmtId="0" fontId="7" fillId="0" borderId="9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17" Type="http://schemas.openxmlformats.org/officeDocument/2006/relationships/image" Target="../media/image17.emf"/><Relationship Id="rId2" Type="http://schemas.openxmlformats.org/officeDocument/2006/relationships/image" Target="../media/image7.emf"/><Relationship Id="rId16" Type="http://schemas.openxmlformats.org/officeDocument/2006/relationships/image" Target="../media/image16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4.emf"/><Relationship Id="rId4" Type="http://schemas.openxmlformats.org/officeDocument/2006/relationships/image" Target="../media/image9.emf"/><Relationship Id="rId9" Type="http://schemas.openxmlformats.org/officeDocument/2006/relationships/image" Target="../media/image5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457200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95250</xdr:rowOff>
        </xdr:from>
        <xdr:to>
          <xdr:col>9</xdr:col>
          <xdr:colOff>257175</xdr:colOff>
          <xdr:row>16</xdr:row>
          <xdr:rowOff>85725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171450</xdr:rowOff>
        </xdr:from>
        <xdr:to>
          <xdr:col>14</xdr:col>
          <xdr:colOff>285750</xdr:colOff>
          <xdr:row>15</xdr:row>
          <xdr:rowOff>133350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171450</xdr:rowOff>
        </xdr:from>
        <xdr:to>
          <xdr:col>15</xdr:col>
          <xdr:colOff>323850</xdr:colOff>
          <xdr:row>15</xdr:row>
          <xdr:rowOff>66675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190500</xdr:rowOff>
        </xdr:from>
        <xdr:to>
          <xdr:col>16</xdr:col>
          <xdr:colOff>285750</xdr:colOff>
          <xdr:row>15</xdr:row>
          <xdr:rowOff>95250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180975</xdr:rowOff>
        </xdr:from>
        <xdr:to>
          <xdr:col>17</xdr:col>
          <xdr:colOff>295275</xdr:colOff>
          <xdr:row>15</xdr:row>
          <xdr:rowOff>76200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171450</xdr:rowOff>
        </xdr:from>
        <xdr:to>
          <xdr:col>18</xdr:col>
          <xdr:colOff>304800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14</xdr:row>
          <xdr:rowOff>285750</xdr:rowOff>
        </xdr:from>
        <xdr:to>
          <xdr:col>3</xdr:col>
          <xdr:colOff>438150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16</xdr:row>
          <xdr:rowOff>133350</xdr:rowOff>
        </xdr:from>
        <xdr:to>
          <xdr:col>3</xdr:col>
          <xdr:colOff>419100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16</xdr:row>
          <xdr:rowOff>180975</xdr:rowOff>
        </xdr:from>
        <xdr:to>
          <xdr:col>6</xdr:col>
          <xdr:colOff>819150</xdr:colOff>
          <xdr:row>16</xdr:row>
          <xdr:rowOff>323850</xdr:rowOff>
        </xdr:to>
        <xdr:sp macro="" textlink="">
          <xdr:nvSpPr>
            <xdr:cNvPr id="5145" name="CheckBox13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876300</xdr:rowOff>
        </xdr:from>
        <xdr:to>
          <xdr:col>3</xdr:col>
          <xdr:colOff>409575</xdr:colOff>
          <xdr:row>16</xdr:row>
          <xdr:rowOff>1028700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685800</xdr:rowOff>
        </xdr:from>
        <xdr:to>
          <xdr:col>3</xdr:col>
          <xdr:colOff>419100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16</xdr:row>
          <xdr:rowOff>400050</xdr:rowOff>
        </xdr:from>
        <xdr:to>
          <xdr:col>3</xdr:col>
          <xdr:colOff>419100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W21"/>
  <sheetViews>
    <sheetView showGridLines="0" showRowColHeaders="0" rightToLeft="1" tabSelected="1" topLeftCell="A7" zoomScale="93" zoomScaleNormal="93" zoomScalePageLayoutView="84" workbookViewId="0">
      <selection activeCell="C12" sqref="C12:H12"/>
    </sheetView>
  </sheetViews>
  <sheetFormatPr defaultColWidth="8.28515625" defaultRowHeight="18"/>
  <cols>
    <col min="1" max="1" width="8.28515625" style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8.42578125" style="1" customWidth="1"/>
    <col min="13" max="13" width="6.85546875" style="1" customWidth="1"/>
    <col min="14" max="14" width="19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9" width="8.28515625" style="1" hidden="1" customWidth="1"/>
    <col min="50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7" ht="12" customHeight="1"/>
    <row r="2" spans="2:47" ht="15.75" customHeight="1">
      <c r="B2" s="74" t="s">
        <v>17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6"/>
    </row>
    <row r="3" spans="2:47" ht="13.5" customHeight="1">
      <c r="B3" s="77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9"/>
    </row>
    <row r="4" spans="2:47" ht="17.25" customHeight="1">
      <c r="B4" s="80" t="s">
        <v>7</v>
      </c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2"/>
      <c r="W4" s="1" t="str">
        <f>S6&amp;R6&amp;Q6</f>
        <v>4019101</v>
      </c>
    </row>
    <row r="5" spans="2:47" ht="9" customHeight="1">
      <c r="B5" s="83"/>
      <c r="C5" s="84"/>
      <c r="D5" s="84"/>
      <c r="E5" s="84"/>
      <c r="F5" s="84"/>
      <c r="G5" s="81"/>
      <c r="H5" s="81"/>
      <c r="I5" s="81"/>
      <c r="J5" s="81"/>
      <c r="K5" s="81"/>
      <c r="L5" s="81"/>
      <c r="M5" s="84"/>
      <c r="N5" s="84"/>
      <c r="O5" s="84"/>
      <c r="P5" s="84"/>
      <c r="Q5" s="84"/>
      <c r="R5" s="84"/>
      <c r="S5" s="85"/>
      <c r="AS5" s="3" t="s">
        <v>37</v>
      </c>
    </row>
    <row r="6" spans="2:47" s="3" customFormat="1" ht="32.25" customHeight="1">
      <c r="B6" s="86" t="s">
        <v>11</v>
      </c>
      <c r="C6" s="87"/>
      <c r="D6" s="25" t="s">
        <v>21</v>
      </c>
      <c r="E6" s="87" t="s">
        <v>4</v>
      </c>
      <c r="F6" s="87"/>
      <c r="G6" s="26" t="s">
        <v>28</v>
      </c>
      <c r="H6" s="20">
        <f>IF(G6=W7,770,IF(G6=W8,880,IF(G6=W9,777,IF(G6=W10,667,IF(G6=W11,666,IF(G6=W12,110,IF(G6=W13,210,)))))))</f>
        <v>110</v>
      </c>
      <c r="I6" s="88" t="s">
        <v>5</v>
      </c>
      <c r="J6" s="89"/>
      <c r="K6" s="89"/>
      <c r="L6" s="89"/>
      <c r="M6" s="89"/>
      <c r="N6" s="36" t="s">
        <v>55</v>
      </c>
      <c r="O6" s="90" t="s">
        <v>27</v>
      </c>
      <c r="P6" s="91"/>
      <c r="Q6" s="27">
        <v>101</v>
      </c>
      <c r="R6" s="28">
        <v>9</v>
      </c>
      <c r="S6" s="29">
        <v>401</v>
      </c>
      <c r="V6" s="13"/>
      <c r="W6" s="13"/>
      <c r="X6" s="93"/>
      <c r="Y6" s="93"/>
      <c r="Z6" s="93"/>
      <c r="AA6" s="4"/>
      <c r="AS6" s="3" t="s">
        <v>38</v>
      </c>
    </row>
    <row r="7" spans="2:47" s="3" customFormat="1" ht="29.25" customHeight="1">
      <c r="B7" s="12" t="s">
        <v>0</v>
      </c>
      <c r="C7" s="86" t="s">
        <v>3</v>
      </c>
      <c r="D7" s="87"/>
      <c r="E7" s="87"/>
      <c r="F7" s="87"/>
      <c r="G7" s="94"/>
      <c r="H7" s="95"/>
      <c r="I7" s="96" t="s">
        <v>10</v>
      </c>
      <c r="J7" s="97"/>
      <c r="K7" s="34" t="s">
        <v>46</v>
      </c>
      <c r="L7" s="34" t="s">
        <v>47</v>
      </c>
      <c r="M7" s="7" t="s">
        <v>2</v>
      </c>
      <c r="N7" s="16" t="s">
        <v>1</v>
      </c>
      <c r="O7" s="98" t="s">
        <v>12</v>
      </c>
      <c r="P7" s="98"/>
      <c r="Q7" s="98"/>
      <c r="R7" s="98"/>
      <c r="S7" s="99"/>
      <c r="V7" s="13" t="s">
        <v>21</v>
      </c>
      <c r="W7" s="13" t="s">
        <v>18</v>
      </c>
      <c r="X7" s="30" t="b">
        <v>1</v>
      </c>
      <c r="Y7" s="30"/>
      <c r="Z7" s="30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1" t="s">
        <v>39</v>
      </c>
    </row>
    <row r="8" spans="2:47" ht="36" customHeight="1">
      <c r="B8" s="5">
        <v>1</v>
      </c>
      <c r="C8" s="62" t="s">
        <v>53</v>
      </c>
      <c r="D8" s="63"/>
      <c r="E8" s="63"/>
      <c r="F8" s="63"/>
      <c r="G8" s="63"/>
      <c r="H8" s="64"/>
      <c r="I8" s="60">
        <v>1</v>
      </c>
      <c r="J8" s="61"/>
      <c r="K8" s="35">
        <v>0</v>
      </c>
      <c r="L8" s="38">
        <f>I8-K8</f>
        <v>1</v>
      </c>
      <c r="M8" s="23" t="s">
        <v>39</v>
      </c>
      <c r="N8" s="24" t="s">
        <v>52</v>
      </c>
      <c r="O8" s="57" t="s">
        <v>14</v>
      </c>
      <c r="P8" s="57" t="s">
        <v>13</v>
      </c>
      <c r="Q8" s="57" t="s">
        <v>24</v>
      </c>
      <c r="R8" s="57" t="s">
        <v>15</v>
      </c>
      <c r="S8" s="57" t="s">
        <v>16</v>
      </c>
      <c r="V8" s="2" t="s">
        <v>22</v>
      </c>
      <c r="W8" s="2" t="s">
        <v>19</v>
      </c>
      <c r="X8" s="30" t="b">
        <v>0</v>
      </c>
      <c r="Y8" s="30"/>
      <c r="Z8" s="30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1" t="s">
        <v>40</v>
      </c>
    </row>
    <row r="9" spans="2:47" ht="33.75" customHeight="1">
      <c r="B9" s="5">
        <v>2</v>
      </c>
      <c r="C9" s="62" t="s">
        <v>54</v>
      </c>
      <c r="D9" s="63"/>
      <c r="E9" s="63"/>
      <c r="F9" s="63"/>
      <c r="G9" s="63"/>
      <c r="H9" s="64"/>
      <c r="I9" s="60">
        <v>1</v>
      </c>
      <c r="J9" s="61"/>
      <c r="K9" s="35">
        <v>0</v>
      </c>
      <c r="L9" s="38">
        <f t="shared" ref="L9:L13" si="0">I9-K9</f>
        <v>1</v>
      </c>
      <c r="M9" s="23" t="s">
        <v>38</v>
      </c>
      <c r="N9" s="24" t="s">
        <v>52</v>
      </c>
      <c r="O9" s="58"/>
      <c r="P9" s="58"/>
      <c r="Q9" s="58"/>
      <c r="R9" s="58"/>
      <c r="S9" s="58"/>
      <c r="V9" s="2" t="s">
        <v>23</v>
      </c>
      <c r="W9" s="2" t="s">
        <v>30</v>
      </c>
      <c r="X9" s="30" t="b">
        <v>0</v>
      </c>
      <c r="Y9" s="30"/>
      <c r="Z9" s="30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1" t="s">
        <v>41</v>
      </c>
    </row>
    <row r="10" spans="2:47" ht="33.75" customHeight="1">
      <c r="B10" s="5">
        <v>3</v>
      </c>
      <c r="C10" s="62"/>
      <c r="D10" s="63"/>
      <c r="E10" s="63"/>
      <c r="F10" s="63"/>
      <c r="G10" s="63"/>
      <c r="H10" s="64"/>
      <c r="I10" s="60">
        <v>0</v>
      </c>
      <c r="J10" s="61"/>
      <c r="K10" s="35">
        <v>0</v>
      </c>
      <c r="L10" s="38">
        <f t="shared" si="0"/>
        <v>0</v>
      </c>
      <c r="M10" s="23"/>
      <c r="N10" s="24"/>
      <c r="O10" s="58"/>
      <c r="P10" s="58"/>
      <c r="Q10" s="58"/>
      <c r="R10" s="58"/>
      <c r="S10" s="58"/>
      <c r="V10" s="2" t="s">
        <v>26</v>
      </c>
      <c r="W10" s="2" t="s">
        <v>20</v>
      </c>
      <c r="X10" s="30" t="b">
        <v>1</v>
      </c>
      <c r="Y10" s="30"/>
      <c r="Z10" s="30"/>
      <c r="AB10" s="15"/>
      <c r="AH10" s="1">
        <v>4</v>
      </c>
      <c r="AS10" s="1" t="s">
        <v>42</v>
      </c>
    </row>
    <row r="11" spans="2:47" ht="33.75" customHeight="1">
      <c r="B11" s="5">
        <v>4</v>
      </c>
      <c r="C11" s="62"/>
      <c r="D11" s="63"/>
      <c r="E11" s="63"/>
      <c r="F11" s="63"/>
      <c r="G11" s="63"/>
      <c r="H11" s="64"/>
      <c r="I11" s="60">
        <v>0</v>
      </c>
      <c r="J11" s="61"/>
      <c r="K11" s="35">
        <v>0</v>
      </c>
      <c r="L11" s="38">
        <f t="shared" si="0"/>
        <v>0</v>
      </c>
      <c r="M11" s="23"/>
      <c r="N11" s="24"/>
      <c r="O11" s="58"/>
      <c r="P11" s="58"/>
      <c r="Q11" s="58"/>
      <c r="R11" s="58"/>
      <c r="S11" s="58"/>
      <c r="V11" s="2" t="s">
        <v>48</v>
      </c>
      <c r="W11" s="2" t="s">
        <v>31</v>
      </c>
      <c r="X11" s="30" t="b">
        <v>1</v>
      </c>
      <c r="Y11" s="30"/>
      <c r="Z11" s="30"/>
      <c r="AB11" s="15"/>
      <c r="AH11" s="1">
        <v>5</v>
      </c>
      <c r="AS11" s="1" t="s">
        <v>43</v>
      </c>
    </row>
    <row r="12" spans="2:47" ht="33.75" customHeight="1">
      <c r="B12" s="5">
        <v>5</v>
      </c>
      <c r="C12" s="62"/>
      <c r="D12" s="63"/>
      <c r="E12" s="63"/>
      <c r="F12" s="63"/>
      <c r="G12" s="63"/>
      <c r="H12" s="64"/>
      <c r="I12" s="60">
        <v>0</v>
      </c>
      <c r="J12" s="61"/>
      <c r="K12" s="35">
        <v>0</v>
      </c>
      <c r="L12" s="38">
        <f t="shared" si="0"/>
        <v>0</v>
      </c>
      <c r="M12" s="23"/>
      <c r="N12" s="24"/>
      <c r="O12" s="58"/>
      <c r="P12" s="58"/>
      <c r="Q12" s="58"/>
      <c r="R12" s="58"/>
      <c r="S12" s="58"/>
      <c r="V12" s="2" t="s">
        <v>49</v>
      </c>
      <c r="W12" s="2" t="s">
        <v>28</v>
      </c>
      <c r="X12" s="30" t="b">
        <v>1</v>
      </c>
      <c r="Y12" s="30"/>
      <c r="Z12" s="30"/>
      <c r="AB12" s="15"/>
      <c r="AH12" s="1">
        <v>6</v>
      </c>
      <c r="AR12" s="1" t="s">
        <v>34</v>
      </c>
      <c r="AS12" s="1" t="s">
        <v>44</v>
      </c>
    </row>
    <row r="13" spans="2:47" ht="27.95" customHeight="1">
      <c r="B13" s="22">
        <v>6</v>
      </c>
      <c r="C13" s="65"/>
      <c r="D13" s="66"/>
      <c r="E13" s="66"/>
      <c r="F13" s="66"/>
      <c r="G13" s="66"/>
      <c r="H13" s="64"/>
      <c r="I13" s="60">
        <v>0</v>
      </c>
      <c r="J13" s="61"/>
      <c r="K13" s="35">
        <v>0</v>
      </c>
      <c r="L13" s="38">
        <f t="shared" si="0"/>
        <v>0</v>
      </c>
      <c r="M13" s="23"/>
      <c r="N13" s="24"/>
      <c r="O13" s="59"/>
      <c r="P13" s="59"/>
      <c r="Q13" s="59"/>
      <c r="R13" s="59"/>
      <c r="S13" s="59"/>
      <c r="V13" s="2"/>
      <c r="W13" s="2" t="s">
        <v>29</v>
      </c>
      <c r="X13" s="30" t="b">
        <v>1</v>
      </c>
      <c r="Y13" s="30"/>
      <c r="Z13" s="30"/>
      <c r="AB13" s="15"/>
      <c r="AH13" s="1">
        <v>7</v>
      </c>
      <c r="AS13" s="3" t="s">
        <v>45</v>
      </c>
      <c r="AU13" s="1" t="s">
        <v>34</v>
      </c>
    </row>
    <row r="14" spans="2:47" s="6" customFormat="1" ht="21" customHeight="1">
      <c r="B14" s="101" t="s">
        <v>6</v>
      </c>
      <c r="C14" s="102"/>
      <c r="D14" s="102"/>
      <c r="E14" s="46" t="s">
        <v>36</v>
      </c>
      <c r="F14" s="47"/>
      <c r="G14" s="48"/>
      <c r="H14" s="103" t="s">
        <v>8</v>
      </c>
      <c r="I14" s="103"/>
      <c r="J14" s="103"/>
      <c r="K14" s="103"/>
      <c r="L14" s="103"/>
      <c r="M14" s="104"/>
      <c r="N14" s="105" t="s">
        <v>9</v>
      </c>
      <c r="O14" s="39"/>
      <c r="P14" s="42"/>
      <c r="Q14" s="39"/>
      <c r="R14" s="53"/>
      <c r="S14" s="54"/>
      <c r="U14" s="100"/>
      <c r="W14" s="6" t="str">
        <f>B4</f>
        <v xml:space="preserve">درخواست کالا و مواد </v>
      </c>
      <c r="X14" s="31" t="b">
        <v>0</v>
      </c>
      <c r="Y14" s="31"/>
      <c r="Z14" s="31"/>
      <c r="AA14" s="14"/>
    </row>
    <row r="15" spans="2:47" ht="27" customHeight="1">
      <c r="B15" s="67" t="s">
        <v>50</v>
      </c>
      <c r="C15" s="68"/>
      <c r="D15" s="69"/>
      <c r="E15" s="49"/>
      <c r="F15" s="50"/>
      <c r="G15" s="51"/>
      <c r="H15" s="45" t="s">
        <v>32</v>
      </c>
      <c r="I15" s="68"/>
      <c r="J15" s="68"/>
      <c r="K15" s="68"/>
      <c r="L15" s="68"/>
      <c r="M15" s="69"/>
      <c r="N15" s="106"/>
      <c r="O15" s="40"/>
      <c r="P15" s="43"/>
      <c r="Q15" s="40"/>
      <c r="R15" s="53"/>
      <c r="S15" s="55"/>
      <c r="U15" s="100"/>
      <c r="X15" s="30" t="b">
        <v>1</v>
      </c>
      <c r="Y15" s="30"/>
      <c r="Z15" s="30"/>
    </row>
    <row r="16" spans="2:47" ht="21.95" customHeight="1">
      <c r="B16" s="70"/>
      <c r="C16" s="68"/>
      <c r="D16" s="69"/>
      <c r="E16" s="46" t="s">
        <v>35</v>
      </c>
      <c r="F16" s="47"/>
      <c r="G16" s="48"/>
      <c r="H16" s="45"/>
      <c r="I16" s="68"/>
      <c r="J16" s="68"/>
      <c r="K16" s="68"/>
      <c r="L16" s="68"/>
      <c r="M16" s="69"/>
      <c r="N16" s="18" t="s">
        <v>25</v>
      </c>
      <c r="O16" s="40"/>
      <c r="P16" s="43"/>
      <c r="Q16" s="40"/>
      <c r="R16" s="53"/>
      <c r="S16" s="55"/>
      <c r="U16" s="100"/>
      <c r="X16" s="30" t="b">
        <v>0</v>
      </c>
      <c r="Y16" s="30"/>
      <c r="Z16" s="30"/>
    </row>
    <row r="17" spans="2:27" s="3" customFormat="1" ht="93.75" customHeight="1">
      <c r="B17" s="71"/>
      <c r="C17" s="72"/>
      <c r="D17" s="73"/>
      <c r="E17" s="49"/>
      <c r="F17" s="50"/>
      <c r="G17" s="51"/>
      <c r="H17" s="21" t="s">
        <v>33</v>
      </c>
      <c r="I17" s="72"/>
      <c r="J17" s="72"/>
      <c r="K17" s="72"/>
      <c r="L17" s="72"/>
      <c r="M17" s="73"/>
      <c r="N17" s="37" t="s">
        <v>55</v>
      </c>
      <c r="O17" s="41"/>
      <c r="P17" s="44"/>
      <c r="Q17" s="41"/>
      <c r="R17" s="53"/>
      <c r="S17" s="56"/>
      <c r="U17" s="100"/>
      <c r="X17" s="32" t="b">
        <v>0</v>
      </c>
      <c r="Y17" s="32"/>
      <c r="Z17" s="32"/>
      <c r="AA17" s="4"/>
    </row>
    <row r="18" spans="2:27" ht="15" customHeight="1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92" t="s">
        <v>51</v>
      </c>
      <c r="Q18" s="92"/>
      <c r="R18" s="92"/>
      <c r="S18" s="92"/>
      <c r="X18" s="30" t="b">
        <v>0</v>
      </c>
      <c r="Y18" s="30"/>
      <c r="Z18" s="30"/>
    </row>
    <row r="19" spans="2:27" ht="18" customHeight="1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30" t="b">
        <v>0</v>
      </c>
      <c r="Y19" s="30"/>
      <c r="Z19" s="30"/>
    </row>
    <row r="20" spans="2:27" s="4" customFormat="1" ht="16.5" customHeight="1"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X20" s="33" t="b">
        <v>1</v>
      </c>
      <c r="Y20" s="33"/>
      <c r="Z20" s="33"/>
    </row>
    <row r="21" spans="2:27">
      <c r="D21" s="10"/>
      <c r="E21" s="10"/>
      <c r="X21" s="30" t="b">
        <v>1</v>
      </c>
      <c r="Y21" s="30"/>
      <c r="Z21" s="30"/>
    </row>
  </sheetData>
  <sheetProtection algorithmName="SHA-512" hashValue="VivCm391B7XZK/foMWQxb66hyLry2U9ZlGl+ilxMjdbVim0lF0q1UIIIpsqXNqxg1GKdgASthYEIAJnIJ6ZDww==" saltValue="hkv2TLKrPSDrttOIkaogHA==" spinCount="100000" sheet="1" objects="1" scenarios="1" selectLockedCells="1"/>
  <mergeCells count="43"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  <mergeCell ref="B2:S3"/>
    <mergeCell ref="B4:S5"/>
    <mergeCell ref="B6:C6"/>
    <mergeCell ref="E6:F6"/>
    <mergeCell ref="I6:M6"/>
    <mergeCell ref="O6:P6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O14:O17"/>
    <mergeCell ref="P14:P17"/>
    <mergeCell ref="H15:H16"/>
    <mergeCell ref="E16:G17"/>
    <mergeCell ref="E14:G15"/>
  </mergeCells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$V$6:$V$12</formula1>
    </dataValidation>
    <dataValidation type="list" allowBlank="1" showInputMessage="1" showErrorMessage="1" sqref="M8:M13">
      <formula1>$AS$4:$AS$13</formula1>
    </dataValidation>
  </dataValidations>
  <pageMargins left="0.51181102362204722" right="0.51181102362204722" top="0.55118110236220474" bottom="0.35433070866141736" header="0.31496062992125984" footer="0.31496062992125984"/>
  <pageSetup paperSize="9" scale="95" orientation="landscape" r:id="rId1"/>
  <ignoredErrors>
    <ignoredError sqref="L8:L13" unlockedFormula="1"/>
  </ignoredErrors>
  <drawing r:id="rId2"/>
  <legacyDrawing r:id="rId3"/>
  <controls>
    <mc:AlternateContent xmlns:mc="http://schemas.openxmlformats.org/markup-compatibility/2006">
      <mc:Choice Requires="x14">
        <control shapeId="5145" r:id="rId4" name="CheckBox13">
          <controlPr autoLine="0" linkedCell="X20" r:id="rId5">
            <anchor moveWithCells="1">
              <from>
                <xdr:col>6</xdr:col>
                <xdr:colOff>666750</xdr:colOff>
                <xdr:row>16</xdr:row>
                <xdr:rowOff>180975</xdr:rowOff>
              </from>
              <to>
                <xdr:col>6</xdr:col>
                <xdr:colOff>819150</xdr:colOff>
                <xdr:row>16</xdr:row>
                <xdr:rowOff>323850</xdr:rowOff>
              </to>
            </anchor>
          </controlPr>
        </control>
      </mc:Choice>
      <mc:Fallback>
        <control shapeId="5145" r:id="rId4" name="CheckBox13"/>
      </mc:Fallback>
    </mc:AlternateContent>
    <mc:AlternateContent xmlns:mc="http://schemas.openxmlformats.org/markup-compatibility/2006">
      <mc:Choice Requires="x14">
        <control shapeId="5144" r:id="rId6" name="CheckBox12">
          <controlPr autoLine="0" linkedCell="X18" r:id="rId7">
            <anchor moveWithCells="1">
              <from>
                <xdr:col>3</xdr:col>
                <xdr:colOff>247650</xdr:colOff>
                <xdr:row>16</xdr:row>
                <xdr:rowOff>133350</xdr:rowOff>
              </from>
              <to>
                <xdr:col>3</xdr:col>
                <xdr:colOff>419100</xdr:colOff>
                <xdr:row>16</xdr:row>
                <xdr:rowOff>342900</xdr:rowOff>
              </to>
            </anchor>
          </controlPr>
        </control>
      </mc:Choice>
      <mc:Fallback>
        <control shapeId="5144" r:id="rId6" name="CheckBox12"/>
      </mc:Fallback>
    </mc:AlternateContent>
    <mc:AlternateContent xmlns:mc="http://schemas.openxmlformats.org/markup-compatibility/2006">
      <mc:Choice Requires="x14">
        <control shapeId="5143" r:id="rId8" name="CheckBox11">
          <controlPr autoLine="0" linkedCell="X17" r:id="rId9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8" name="CheckBox11"/>
      </mc:Fallback>
    </mc:AlternateContent>
    <mc:AlternateContent xmlns:mc="http://schemas.openxmlformats.org/markup-compatibility/2006">
      <mc:Choice Requires="x14">
        <control shapeId="5142" r:id="rId10" name="CheckBox10">
          <controlPr defaultSize="0" autoLine="0" linkedCell="X16" r:id="rId11">
            <anchor moveWithCells="1">
              <from>
                <xdr:col>3</xdr:col>
                <xdr:colOff>276225</xdr:colOff>
                <xdr:row>14</xdr:row>
                <xdr:rowOff>285750</xdr:rowOff>
              </from>
              <to>
                <xdr:col>3</xdr:col>
                <xdr:colOff>438150</xdr:colOff>
                <xdr:row>15</xdr:row>
                <xdr:rowOff>114300</xdr:rowOff>
              </to>
            </anchor>
          </controlPr>
        </control>
      </mc:Choice>
      <mc:Fallback>
        <control shapeId="5142" r:id="rId10" name="CheckBox10"/>
      </mc:Fallback>
    </mc:AlternateContent>
    <mc:AlternateContent xmlns:mc="http://schemas.openxmlformats.org/markup-compatibility/2006">
      <mc:Choice Requires="x14">
        <control shapeId="5141" r:id="rId12" name="CheckBox9">
          <controlPr defaultSize="0" autoLine="0" linkedCell="X15" r:id="rId13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12" name="CheckBox9"/>
      </mc:Fallback>
    </mc:AlternateContent>
    <mc:AlternateContent xmlns:mc="http://schemas.openxmlformats.org/markup-compatibility/2006">
      <mc:Choice Requires="x14">
        <control shapeId="5128" r:id="rId14" name="CheckBox1">
          <controlPr autoLine="0" linkedCell="X7" r:id="rId15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14" name="CheckBox1"/>
      </mc:Fallback>
    </mc:AlternateContent>
    <mc:AlternateContent xmlns:mc="http://schemas.openxmlformats.org/markup-compatibility/2006">
      <mc:Choice Requires="x14">
        <control shapeId="5129" r:id="rId16" name="CheckBox2">
          <controlPr autoLine="0" linkedCell="X8" r:id="rId17">
            <anchor moveWithCells="1">
              <from>
                <xdr:col>9</xdr:col>
                <xdr:colOff>95250</xdr:colOff>
                <xdr:row>15</xdr:row>
                <xdr:rowOff>95250</xdr:rowOff>
              </from>
              <to>
                <xdr:col>9</xdr:col>
                <xdr:colOff>257175</xdr:colOff>
                <xdr:row>16</xdr:row>
                <xdr:rowOff>85725</xdr:rowOff>
              </to>
            </anchor>
          </controlPr>
        </control>
      </mc:Choice>
      <mc:Fallback>
        <control shapeId="5129" r:id="rId16" name="CheckBox2"/>
      </mc:Fallback>
    </mc:AlternateContent>
    <mc:AlternateContent xmlns:mc="http://schemas.openxmlformats.org/markup-compatibility/2006">
      <mc:Choice Requires="x14">
        <control shapeId="5130" r:id="rId18" name="CheckBox3">
          <controlPr autoLine="0" linkedCell="X9" r:id="rId19">
            <anchor moveWithCells="1">
              <from>
                <xdr:col>14</xdr:col>
                <xdr:colOff>123825</xdr:colOff>
                <xdr:row>14</xdr:row>
                <xdr:rowOff>171450</xdr:rowOff>
              </from>
              <to>
                <xdr:col>14</xdr:col>
                <xdr:colOff>285750</xdr:colOff>
                <xdr:row>15</xdr:row>
                <xdr:rowOff>133350</xdr:rowOff>
              </to>
            </anchor>
          </controlPr>
        </control>
      </mc:Choice>
      <mc:Fallback>
        <control shapeId="5130" r:id="rId18" name="CheckBox3"/>
      </mc:Fallback>
    </mc:AlternateContent>
    <mc:AlternateContent xmlns:mc="http://schemas.openxmlformats.org/markup-compatibility/2006">
      <mc:Choice Requires="x14">
        <control shapeId="5131" r:id="rId20" name="CheckBox4">
          <controlPr autoLine="0" linkedCell="X10" r:id="rId21">
            <anchor moveWithCells="1">
              <from>
                <xdr:col>15</xdr:col>
                <xdr:colOff>171450</xdr:colOff>
                <xdr:row>14</xdr:row>
                <xdr:rowOff>171450</xdr:rowOff>
              </from>
              <to>
                <xdr:col>15</xdr:col>
                <xdr:colOff>323850</xdr:colOff>
                <xdr:row>15</xdr:row>
                <xdr:rowOff>66675</xdr:rowOff>
              </to>
            </anchor>
          </controlPr>
        </control>
      </mc:Choice>
      <mc:Fallback>
        <control shapeId="5131" r:id="rId20" name="CheckBox4"/>
      </mc:Fallback>
    </mc:AlternateContent>
    <mc:AlternateContent xmlns:mc="http://schemas.openxmlformats.org/markup-compatibility/2006">
      <mc:Choice Requires="x14">
        <control shapeId="5132" r:id="rId22" name="CheckBox5">
          <controlPr autoLine="0" linkedCell="X11" r:id="rId23">
            <anchor moveWithCells="1">
              <from>
                <xdr:col>16</xdr:col>
                <xdr:colOff>123825</xdr:colOff>
                <xdr:row>14</xdr:row>
                <xdr:rowOff>190500</xdr:rowOff>
              </from>
              <to>
                <xdr:col>16</xdr:col>
                <xdr:colOff>285750</xdr:colOff>
                <xdr:row>15</xdr:row>
                <xdr:rowOff>95250</xdr:rowOff>
              </to>
            </anchor>
          </controlPr>
        </control>
      </mc:Choice>
      <mc:Fallback>
        <control shapeId="5132" r:id="rId22" name="CheckBox5"/>
      </mc:Fallback>
    </mc:AlternateContent>
    <mc:AlternateContent xmlns:mc="http://schemas.openxmlformats.org/markup-compatibility/2006">
      <mc:Choice Requires="x14">
        <control shapeId="5133" r:id="rId24" name="CheckBox6">
          <controlPr autoLine="0" linkedCell="X12" r:id="rId25">
            <anchor moveWithCells="1">
              <from>
                <xdr:col>17</xdr:col>
                <xdr:colOff>114300</xdr:colOff>
                <xdr:row>14</xdr:row>
                <xdr:rowOff>180975</xdr:rowOff>
              </from>
              <to>
                <xdr:col>17</xdr:col>
                <xdr:colOff>295275</xdr:colOff>
                <xdr:row>15</xdr:row>
                <xdr:rowOff>76200</xdr:rowOff>
              </to>
            </anchor>
          </controlPr>
        </control>
      </mc:Choice>
      <mc:Fallback>
        <control shapeId="5133" r:id="rId24" name="CheckBox6"/>
      </mc:Fallback>
    </mc:AlternateContent>
    <mc:AlternateContent xmlns:mc="http://schemas.openxmlformats.org/markup-compatibility/2006">
      <mc:Choice Requires="x14">
        <control shapeId="5134" r:id="rId26" name="CheckBox7">
          <controlPr autoLine="0" linkedCell="X13" r:id="rId27">
            <anchor moveWithCells="1">
              <from>
                <xdr:col>18</xdr:col>
                <xdr:colOff>114300</xdr:colOff>
                <xdr:row>14</xdr:row>
                <xdr:rowOff>171450</xdr:rowOff>
              </from>
              <to>
                <xdr:col>18</xdr:col>
                <xdr:colOff>304800</xdr:colOff>
                <xdr:row>15</xdr:row>
                <xdr:rowOff>123825</xdr:rowOff>
              </to>
            </anchor>
          </controlPr>
        </control>
      </mc:Choice>
      <mc:Fallback>
        <control shapeId="5134" r:id="rId26" name="CheckBox7"/>
      </mc:Fallback>
    </mc:AlternateContent>
    <mc:AlternateContent xmlns:mc="http://schemas.openxmlformats.org/markup-compatibility/2006">
      <mc:Choice Requires="x14">
        <control shapeId="5135" r:id="rId28" name="CheckBox8">
          <controlPr defaultSize="0" autoLine="0" linkedCell="X14" r:id="rId29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28" name="CheckBox8"/>
      </mc:Fallback>
    </mc:AlternateContent>
    <mc:AlternateContent xmlns:mc="http://schemas.openxmlformats.org/markup-compatibility/2006">
      <mc:Choice Requires="x14">
        <control shapeId="5146" r:id="rId30" name="CheckBox14">
          <controlPr defaultSize="0" autoLine="0" linkedCell="X19" r:id="rId31">
            <anchor moveWithCells="1">
              <from>
                <xdr:col>3</xdr:col>
                <xdr:colOff>266700</xdr:colOff>
                <xdr:row>16</xdr:row>
                <xdr:rowOff>876300</xdr:rowOff>
              </from>
              <to>
                <xdr:col>3</xdr:col>
                <xdr:colOff>409575</xdr:colOff>
                <xdr:row>16</xdr:row>
                <xdr:rowOff>1028700</xdr:rowOff>
              </to>
            </anchor>
          </controlPr>
        </control>
      </mc:Choice>
      <mc:Fallback>
        <control shapeId="5146" r:id="rId30" name="CheckBox14"/>
      </mc:Fallback>
    </mc:AlternateContent>
    <mc:AlternateContent xmlns:mc="http://schemas.openxmlformats.org/markup-compatibility/2006">
      <mc:Choice Requires="x14">
        <control shapeId="5147" r:id="rId32" name="CheckBox15">
          <controlPr defaultSize="0" autoLine="0" linkedCell="X21" r:id="rId33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32" name="CheckBox15"/>
      </mc:Fallback>
    </mc:AlternateContent>
    <mc:AlternateContent xmlns:mc="http://schemas.openxmlformats.org/markup-compatibility/2006">
      <mc:Choice Requires="x14">
        <control shapeId="5148" r:id="rId34" name="CheckBox16">
          <controlPr defaultSize="0" autoLine="0" r:id="rId35">
            <anchor moveWithCells="1">
              <from>
                <xdr:col>3</xdr:col>
                <xdr:colOff>266700</xdr:colOff>
                <xdr:row>16</xdr:row>
                <xdr:rowOff>685800</xdr:rowOff>
              </from>
              <to>
                <xdr:col>3</xdr:col>
                <xdr:colOff>419100</xdr:colOff>
                <xdr:row>16</xdr:row>
                <xdr:rowOff>809625</xdr:rowOff>
              </to>
            </anchor>
          </controlPr>
        </control>
      </mc:Choice>
      <mc:Fallback>
        <control shapeId="5148" r:id="rId34" name="CheckBox16"/>
      </mc:Fallback>
    </mc:AlternateContent>
    <mc:AlternateContent xmlns:mc="http://schemas.openxmlformats.org/markup-compatibility/2006">
      <mc:Choice Requires="x14">
        <control shapeId="5149" r:id="rId36" name="CheckBox17">
          <controlPr defaultSize="0" autoLine="0" r:id="rId37">
            <anchor moveWithCells="1">
              <from>
                <xdr:col>3</xdr:col>
                <xdr:colOff>247650</xdr:colOff>
                <xdr:row>16</xdr:row>
                <xdr:rowOff>400050</xdr:rowOff>
              </from>
              <to>
                <xdr:col>3</xdr:col>
                <xdr:colOff>419100</xdr:colOff>
                <xdr:row>16</xdr:row>
                <xdr:rowOff>581025</xdr:rowOff>
              </to>
            </anchor>
          </controlPr>
        </control>
      </mc:Choice>
      <mc:Fallback>
        <control shapeId="5149" r:id="rId36" name="CheckBox17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REM-40109-110-101</vt:lpstr>
      <vt:lpstr>'REM-40109-110-101'!Print_Area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m.kardan</cp:lastModifiedBy>
  <cp:lastPrinted>2022-12-20T05:24:47Z</cp:lastPrinted>
  <dcterms:created xsi:type="dcterms:W3CDTF">2017-10-03T08:00:51Z</dcterms:created>
  <dcterms:modified xsi:type="dcterms:W3CDTF">2022-12-20T05:24:54Z</dcterms:modified>
</cp:coreProperties>
</file>