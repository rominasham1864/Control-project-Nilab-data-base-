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1401\قم\درخواست های واصله قم\REM-40109-777-272\"/>
    </mc:Choice>
  </mc:AlternateContent>
  <bookViews>
    <workbookView xWindow="-120" yWindow="-120" windowWidth="20736" windowHeight="11160" tabRatio="586" firstSheet="1" activeTab="1"/>
  </bookViews>
  <sheets>
    <sheet name="003" sheetId="5" state="hidden" r:id="rId1"/>
    <sheet name="REM-40109-777-272" sheetId="4" r:id="rId2"/>
    <sheet name="1" sheetId="1" state="hidden" r:id="rId3"/>
  </sheets>
  <definedNames>
    <definedName name="_xlnm.Print_Area" localSheetId="0">'003'!$B$2:$Q$20</definedName>
    <definedName name="_xlnm.Print_Area" localSheetId="2">'1'!$B$2:$Q$20</definedName>
    <definedName name="_xlnm.Print_Area" localSheetId="1">'REM-40109-777-272'!$B$2:$S$20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4" l="1"/>
  <c r="L9" i="4" l="1"/>
  <c r="L10" i="4"/>
  <c r="L11" i="4"/>
  <c r="L12" i="4"/>
  <c r="L13" i="4"/>
  <c r="L8" i="4"/>
  <c r="Y9" i="1" l="1"/>
  <c r="AA9" i="4"/>
  <c r="W4" i="4"/>
  <c r="Y10" i="5"/>
  <c r="Y9" i="5"/>
</calcChain>
</file>

<file path=xl/sharedStrings.xml><?xml version="1.0" encoding="utf-8"?>
<sst xmlns="http://schemas.openxmlformats.org/spreadsheetml/2006/main" count="136" uniqueCount="67">
  <si>
    <t>ردیف</t>
  </si>
  <si>
    <t>محل مصرف</t>
  </si>
  <si>
    <t>واحد</t>
  </si>
  <si>
    <t>نام و مشخصات کالا</t>
  </si>
  <si>
    <t>پروژه :</t>
  </si>
  <si>
    <t>شماره درخواست :</t>
  </si>
  <si>
    <t>تاریخ درخواست :</t>
  </si>
  <si>
    <t>مدیر / سرپرست کارگاه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</si>
  <si>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</si>
  <si>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</si>
  <si>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</si>
  <si>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</si>
  <si>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</si>
  <si>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</si>
  <si>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</si>
  <si>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</si>
  <si>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</si>
  <si>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</si>
  <si>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</si>
  <si>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</si>
  <si>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</si>
  <si>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</si>
  <si>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فاضلاب قم  2 و 3</t>
  </si>
  <si>
    <t>آبرسانی جاسک</t>
  </si>
  <si>
    <t>برق</t>
  </si>
  <si>
    <t>مکانیک</t>
  </si>
  <si>
    <t>بهره برداری</t>
  </si>
  <si>
    <t>تأیید</t>
  </si>
  <si>
    <t>توقف</t>
  </si>
  <si>
    <t>تأمین بودجه</t>
  </si>
  <si>
    <t>تاریخ ارجاع به بازرگانی</t>
  </si>
  <si>
    <t>1401/05/03</t>
  </si>
  <si>
    <t>1401/03/01</t>
  </si>
  <si>
    <t>1401/00/00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</si>
  <si>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</si>
  <si>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</si>
  <si>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</si>
  <si>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</si>
  <si>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</si>
  <si>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</si>
  <si>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</si>
  <si>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</si>
  <si>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</si>
  <si>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مدیر / سرپرست کارگاه/سایت:                                                            تایید:                    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</si>
  <si>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</si>
  <si>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</si>
  <si>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</si>
  <si>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</si>
  <si>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</si>
  <si>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</si>
  <si>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</si>
  <si>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</si>
  <si>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</si>
  <si>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</si>
  <si>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</si>
  <si>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</si>
  <si>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</si>
  <si>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</si>
  <si>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r>
      <t xml:space="preserve">برق:                                       مکانیک:                               بهره برداری:                          آزمایشگاه:    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اداری:                                      مدیرتصفیه خانه:</t>
    </r>
  </si>
  <si>
    <t xml:space="preserve">ماسک سه لایه </t>
  </si>
  <si>
    <t>سایت</t>
  </si>
  <si>
    <t>1401/09/19</t>
  </si>
  <si>
    <t>عینک سفیدUV</t>
  </si>
  <si>
    <t xml:space="preserve">گوشی ایر پلاک </t>
  </si>
  <si>
    <t>دست کش ضد برش (استادکار)</t>
  </si>
  <si>
    <t>دستمال تنظیف</t>
  </si>
  <si>
    <t>1401/10/03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</si>
</sst>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60429]dd/mm/yyyy;@"/>
  </numFmts>
  <fonts count="14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3" fillId="0" borderId="3" xfId="0" quotePrefix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readingOrder="2"/>
    </xf>
    <xf numFmtId="0" fontId="2" fillId="0" borderId="5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0" borderId="3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9" xfId="0" applyFont="1" applyBorder="1" applyAlignment="1">
      <alignment vertical="top"/>
    </xf>
    <xf numFmtId="0" fontId="3" fillId="0" borderId="10" xfId="0" applyFont="1" applyBorder="1" applyAlignment="1">
      <alignment vertical="top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" fontId="8" fillId="0" borderId="4" xfId="0" applyNumberFormat="1" applyFont="1" applyBorder="1" applyAlignment="1" applyProtection="1">
      <alignment horizontal="center" vertical="center" readingOrder="2"/>
      <protection locked="0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1" fontId="8" fillId="0" borderId="4" xfId="0" applyNumberFormat="1" applyFont="1" applyBorder="1" applyAlignment="1">
      <alignment horizontal="center" vertical="center" readingOrder="2"/>
    </xf>
    <xf numFmtId="0" fontId="1" fillId="0" borderId="0" xfId="0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readingOrder="2"/>
    </xf>
    <xf numFmtId="49" fontId="8" fillId="0" borderId="3" xfId="0" applyNumberFormat="1" applyFont="1" applyBorder="1" applyAlignment="1">
      <alignment horizontal="center" vertical="center" readingOrder="2"/>
    </xf>
    <xf numFmtId="49" fontId="8" fillId="0" borderId="4" xfId="0" applyNumberFormat="1" applyFont="1" applyBorder="1" applyAlignment="1">
      <alignment horizontal="center" vertical="center" readingOrder="2"/>
    </xf>
    <xf numFmtId="0" fontId="5" fillId="0" borderId="0" xfId="0" applyFont="1" applyAlignment="1">
      <alignment horizontal="right" vertical="center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6" fillId="0" borderId="0" xfId="0" applyFont="1" applyAlignment="1">
      <alignment horizontal="center" vertical="center"/>
    </xf>
    <xf numFmtId="0" fontId="7" fillId="0" borderId="10" xfId="0" applyFont="1" applyBorder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7" fillId="0" borderId="11" xfId="0" applyFont="1" applyBorder="1" applyAlignment="1">
      <alignment horizontal="center" vertical="top"/>
    </xf>
    <xf numFmtId="0" fontId="7" fillId="0" borderId="9" xfId="0" applyFont="1" applyBorder="1" applyAlignment="1">
      <alignment horizontal="center" vertical="top"/>
    </xf>
    <xf numFmtId="0" fontId="7" fillId="0" borderId="7" xfId="0" applyFont="1" applyBorder="1" applyAlignment="1">
      <alignment horizontal="center" vertical="top"/>
    </xf>
    <xf numFmtId="0" fontId="7" fillId="0" borderId="8" xfId="0" applyFont="1" applyBorder="1" applyAlignment="1">
      <alignment horizontal="center" vertical="top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7" fillId="0" borderId="12" xfId="0" applyFont="1" applyBorder="1" applyAlignment="1">
      <alignment horizontal="right" vertical="center"/>
    </xf>
    <xf numFmtId="0" fontId="6" fillId="0" borderId="6" xfId="0" applyFont="1" applyBorder="1" applyAlignment="1">
      <alignment horizontal="right" vertical="top"/>
    </xf>
    <xf numFmtId="0" fontId="6" fillId="0" borderId="5" xfId="0" applyFont="1" applyBorder="1" applyAlignment="1">
      <alignment horizontal="right" vertical="top"/>
    </xf>
    <xf numFmtId="0" fontId="6" fillId="0" borderId="12" xfId="0" applyFont="1" applyBorder="1" applyAlignment="1">
      <alignment horizontal="right" vertical="top"/>
    </xf>
    <xf numFmtId="0" fontId="8" fillId="0" borderId="6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1" fontId="8" fillId="0" borderId="2" xfId="0" applyNumberFormat="1" applyFont="1" applyBorder="1" applyAlignment="1">
      <alignment horizontal="center" vertical="center" readingOrder="2"/>
    </xf>
    <xf numFmtId="1" fontId="8" fillId="0" borderId="4" xfId="0" applyNumberFormat="1" applyFont="1" applyBorder="1" applyAlignment="1">
      <alignment horizontal="center" vertical="center" readingOrder="2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175"/>
    </xf>
    <xf numFmtId="0" fontId="10" fillId="0" borderId="14" xfId="0" applyFont="1" applyBorder="1" applyAlignment="1">
      <alignment horizontal="center" vertical="center" textRotation="175"/>
    </xf>
    <xf numFmtId="0" fontId="10" fillId="0" borderId="15" xfId="0" applyFont="1" applyBorder="1" applyAlignment="1">
      <alignment horizontal="center" vertical="center" textRotation="175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1" fontId="8" fillId="0" borderId="2" xfId="0" applyNumberFormat="1" applyFont="1" applyBorder="1" applyAlignment="1" applyProtection="1">
      <alignment horizontal="center" vertical="center" readingOrder="2"/>
      <protection locked="0"/>
    </xf>
    <xf numFmtId="1" fontId="8" fillId="0" borderId="4" xfId="0" applyNumberFormat="1" applyFont="1" applyBorder="1" applyAlignment="1" applyProtection="1">
      <alignment horizontal="center" vertical="center" readingOrder="2"/>
      <protection locked="0"/>
    </xf>
    <xf numFmtId="49" fontId="8" fillId="0" borderId="2" xfId="0" applyNumberFormat="1" applyFont="1" applyBorder="1" applyAlignment="1" applyProtection="1">
      <alignment horizontal="center" vertical="center" readingOrder="2"/>
      <protection locked="0"/>
    </xf>
    <xf numFmtId="49" fontId="8" fillId="0" borderId="3" xfId="0" applyNumberFormat="1" applyFont="1" applyBorder="1" applyAlignment="1" applyProtection="1">
      <alignment horizontal="center" vertical="center" readingOrder="2"/>
      <protection locked="0"/>
    </xf>
    <xf numFmtId="49" fontId="8" fillId="0" borderId="4" xfId="0" applyNumberFormat="1" applyFont="1" applyBorder="1" applyAlignment="1" applyProtection="1">
      <alignment horizontal="center" vertical="center" readingOrder="2"/>
      <protection locked="0"/>
    </xf>
    <xf numFmtId="0" fontId="5" fillId="0" borderId="0" xfId="0" applyFont="1" applyAlignment="1">
      <alignment horizontal="right"/>
    </xf>
    <xf numFmtId="49" fontId="8" fillId="0" borderId="6" xfId="0" applyNumberFormat="1" applyFont="1" applyBorder="1" applyAlignment="1" applyProtection="1">
      <alignment horizontal="center" vertical="center" readingOrder="2"/>
      <protection locked="0"/>
    </xf>
    <xf numFmtId="49" fontId="8" fillId="0" borderId="5" xfId="0" applyNumberFormat="1" applyFont="1" applyBorder="1" applyAlignment="1" applyProtection="1">
      <alignment horizontal="center" vertical="center" readingOrder="2"/>
      <protection locked="0"/>
    </xf>
    <xf numFmtId="0" fontId="3" fillId="0" borderId="10" xfId="0" applyFont="1" applyBorder="1" applyAlignment="1">
      <alignment horizontal="right" vertical="top" wrapText="1" readingOrder="2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10" xfId="0" applyFont="1" applyBorder="1" applyAlignment="1">
      <alignment horizontal="right" vertical="top" wrapText="1" readingOrder="2"/>
    </xf>
    <xf numFmtId="0" fontId="7" fillId="0" borderId="9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9" fillId="0" borderId="5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$Z$8" lockText="1" noThreeD="1"/>
</file>

<file path=xl/ctrlProps/ctrlProp2.xml><?xml version="1.0" encoding="utf-8"?>
<formControlPr xmlns="http://schemas.microsoft.com/office/spreadsheetml/2009/9/main" objectType="CheckBox" fmlaLink="$Y$8" lockText="1" noThreeD="1"/>
</file>

<file path=xl/ctrlProps/ctrlProp3.xml><?xml version="1.0" encoding="utf-8"?>
<formControlPr xmlns="http://schemas.microsoft.com/office/spreadsheetml/2009/9/main" objectType="CheckBox" fmlaLink="$AA$8" lockText="1" noThreeD="1"/>
</file>

<file path=xl/ctrlProps/ctrlProp4.xml><?xml version="1.0" encoding="utf-8"?>
<formControlPr xmlns="http://schemas.microsoft.com/office/spreadsheetml/2009/9/main" objectType="CheckBox" checked="Checked" fmlaLink="$AB$8" lockText="1" noThreeD="1"/>
</file>

<file path=xl/ctrlProps/ctrlProp5.xml><?xml version="1.0" encoding="utf-8"?>
<formControlPr xmlns="http://schemas.microsoft.com/office/spreadsheetml/2009/9/main" objectType="CheckBox" checked="Checked" fmlaLink="$AC$8" lockText="1" noThreeD="1"/>
</file>

<file path=xl/ctrlProps/ctrlProp6.xml><?xml version="1.0" encoding="utf-8"?>
<formControlPr xmlns="http://schemas.microsoft.com/office/spreadsheetml/2009/9/main" objectType="CheckBox" checked="Checked" fmlaLink="$AD$8" lockText="1" noThreeD="1"/>
</file>

<file path=xl/ctrlProps/ctrlProp7.xml><?xml version="1.0" encoding="utf-8"?>
<formControlPr xmlns="http://schemas.microsoft.com/office/spreadsheetml/2009/9/main" objectType="CheckBox" fmlaLink="$AE$8" lockText="1" noThreeD="1"/>
</file>

<file path=xl/ctrlProps/ctrlProp8.xml><?xml version="1.0" encoding="utf-8"?>
<formControlPr xmlns="http://schemas.microsoft.com/office/spreadsheetml/2009/9/main" objectType="CheckBox" checked="Checked" fmlaLink="$Z$8" lockText="1" noThreeD="1"/>
</file>

<file path=xl/ctrlProps/ctrlProp9.xml><?xml version="1.0" encoding="utf-8"?>
<formControlPr xmlns="http://schemas.microsoft.com/office/spreadsheetml/2009/9/main" objectType="CheckBox" fmlaLink="$Y$8" lockText="1" noThreeD="1"/>
</file>

<file path=xl/ctrlProps/ctrlProp10.xml><?xml version="1.0" encoding="utf-8"?>
<formControlPr xmlns="http://schemas.microsoft.com/office/spreadsheetml/2009/9/main" objectType="CheckBox" checked="Checked" fmlaLink="$AA$8" lockText="1" noThreeD="1"/>
</file>

<file path=xl/ctrlProps/ctrlProp11.xml><?xml version="1.0" encoding="utf-8"?>
<formControlPr xmlns="http://schemas.microsoft.com/office/spreadsheetml/2009/9/main" objectType="CheckBox" fmlaLink="$AB$8" lockText="1" noThreeD="1"/>
</file>

<file path=xl/ctrlProps/ctrlProp12.xml><?xml version="1.0" encoding="utf-8"?>
<formControlPr xmlns="http://schemas.microsoft.com/office/spreadsheetml/2009/9/main" objectType="CheckBox" fmlaLink="$AC$8" lockText="1" noThreeD="1"/>
</file>

<file path=xl/ctrlProps/ctrlProp13.xml><?xml version="1.0" encoding="utf-8"?>
<formControlPr xmlns="http://schemas.microsoft.com/office/spreadsheetml/2009/9/main" objectType="CheckBox" fmlaLink="$AD$8" lockText="1" noThreeD="1"/>
</file>

<file path=xl/ctrlProps/ctrlProp14.xml><?xml version="1.0" encoding="utf-8"?>
<formControlPr xmlns="http://schemas.microsoft.com/office/spreadsheetml/2009/9/main" objectType="CheckBox" fmlaLink="$AE$8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7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16.emf"/><Relationship Id="rId2" Type="http://schemas.openxmlformats.org/officeDocument/2006/relationships/image" Target="../media/image12.emf"/><Relationship Id="rId16" Type="http://schemas.openxmlformats.org/officeDocument/2006/relationships/image" Target="../media/image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5.emf"/><Relationship Id="rId5" Type="http://schemas.openxmlformats.org/officeDocument/2006/relationships/image" Target="../media/image9.emf"/><Relationship Id="rId15" Type="http://schemas.openxmlformats.org/officeDocument/2006/relationships/image" Target="../media/image3.emf"/><Relationship Id="rId10" Type="http://schemas.openxmlformats.org/officeDocument/2006/relationships/image" Target="../media/image15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Relationship Id="rId1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457200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449580</xdr:colOff>
          <xdr:row>14</xdr:row>
          <xdr:rowOff>68580</xdr:rowOff>
        </xdr:from>
        <xdr:to>
          <xdr:col>7</xdr:col>
          <xdr:colOff>678180</xdr:colOff>
          <xdr:row>14</xdr:row>
          <xdr:rowOff>236220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15</xdr:row>
          <xdr:rowOff>7620</xdr:rowOff>
        </xdr:from>
        <xdr:to>
          <xdr:col>7</xdr:col>
          <xdr:colOff>670560</xdr:colOff>
          <xdr:row>15</xdr:row>
          <xdr:rowOff>190500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13</xdr:row>
          <xdr:rowOff>259080</xdr:rowOff>
        </xdr:from>
        <xdr:to>
          <xdr:col>12</xdr:col>
          <xdr:colOff>327660</xdr:colOff>
          <xdr:row>14</xdr:row>
          <xdr:rowOff>266700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13</xdr:row>
          <xdr:rowOff>259080</xdr:rowOff>
        </xdr:from>
        <xdr:to>
          <xdr:col>13</xdr:col>
          <xdr:colOff>335280</xdr:colOff>
          <xdr:row>14</xdr:row>
          <xdr:rowOff>266700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xmlns="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83820</xdr:colOff>
          <xdr:row>13</xdr:row>
          <xdr:rowOff>251460</xdr:rowOff>
        </xdr:from>
        <xdr:to>
          <xdr:col>14</xdr:col>
          <xdr:colOff>335280</xdr:colOff>
          <xdr:row>14</xdr:row>
          <xdr:rowOff>266700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13</xdr:row>
          <xdr:rowOff>251460</xdr:rowOff>
        </xdr:from>
        <xdr:to>
          <xdr:col>15</xdr:col>
          <xdr:colOff>327660</xdr:colOff>
          <xdr:row>14</xdr:row>
          <xdr:rowOff>266700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68580</xdr:colOff>
          <xdr:row>13</xdr:row>
          <xdr:rowOff>236220</xdr:rowOff>
        </xdr:from>
        <xdr:to>
          <xdr:col>16</xdr:col>
          <xdr:colOff>312420</xdr:colOff>
          <xdr:row>14</xdr:row>
          <xdr:rowOff>266700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457200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</xdr:colOff>
          <xdr:row>14</xdr:row>
          <xdr:rowOff>236220</xdr:rowOff>
        </xdr:from>
        <xdr:to>
          <xdr:col>9</xdr:col>
          <xdr:colOff>259080</xdr:colOff>
          <xdr:row>15</xdr:row>
          <xdr:rowOff>68580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xmlns="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15</xdr:row>
          <xdr:rowOff>99060</xdr:rowOff>
        </xdr:from>
        <xdr:to>
          <xdr:col>9</xdr:col>
          <xdr:colOff>259080</xdr:colOff>
          <xdr:row>16</xdr:row>
          <xdr:rowOff>83820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xmlns="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</xdr:colOff>
          <xdr:row>14</xdr:row>
          <xdr:rowOff>175260</xdr:rowOff>
        </xdr:from>
        <xdr:to>
          <xdr:col>14</xdr:col>
          <xdr:colOff>289560</xdr:colOff>
          <xdr:row>15</xdr:row>
          <xdr:rowOff>137160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xmlns="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14</xdr:row>
          <xdr:rowOff>175260</xdr:rowOff>
        </xdr:from>
        <xdr:to>
          <xdr:col>15</xdr:col>
          <xdr:colOff>327660</xdr:colOff>
          <xdr:row>15</xdr:row>
          <xdr:rowOff>68580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xmlns="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121920</xdr:colOff>
          <xdr:row>14</xdr:row>
          <xdr:rowOff>190500</xdr:rowOff>
        </xdr:from>
        <xdr:to>
          <xdr:col>16</xdr:col>
          <xdr:colOff>289560</xdr:colOff>
          <xdr:row>15</xdr:row>
          <xdr:rowOff>99060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xmlns="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182880</xdr:rowOff>
        </xdr:from>
        <xdr:to>
          <xdr:col>17</xdr:col>
          <xdr:colOff>297180</xdr:colOff>
          <xdr:row>15</xdr:row>
          <xdr:rowOff>76200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xmlns="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175260</xdr:rowOff>
        </xdr:from>
        <xdr:to>
          <xdr:col>18</xdr:col>
          <xdr:colOff>304800</xdr:colOff>
          <xdr:row>15</xdr:row>
          <xdr:rowOff>121920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xmlns="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121920</xdr:colOff>
          <xdr:row>14</xdr:row>
          <xdr:rowOff>0</xdr:rowOff>
        </xdr:from>
        <xdr:to>
          <xdr:col>9</xdr:col>
          <xdr:colOff>259080</xdr:colOff>
          <xdr:row>14</xdr:row>
          <xdr:rowOff>182880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xmlns="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14</xdr:row>
          <xdr:rowOff>60960</xdr:rowOff>
        </xdr:from>
        <xdr:to>
          <xdr:col>3</xdr:col>
          <xdr:colOff>411480</xdr:colOff>
          <xdr:row>14</xdr:row>
          <xdr:rowOff>236220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xmlns="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14</xdr:row>
          <xdr:rowOff>289560</xdr:rowOff>
        </xdr:from>
        <xdr:to>
          <xdr:col>3</xdr:col>
          <xdr:colOff>441960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xmlns="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198120</xdr:rowOff>
        </xdr:from>
        <xdr:to>
          <xdr:col>3</xdr:col>
          <xdr:colOff>411480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xmlns="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16</xdr:row>
          <xdr:rowOff>137160</xdr:rowOff>
        </xdr:from>
        <xdr:to>
          <xdr:col>3</xdr:col>
          <xdr:colOff>419100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xmlns="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670560</xdr:colOff>
          <xdr:row>16</xdr:row>
          <xdr:rowOff>182880</xdr:rowOff>
        </xdr:from>
        <xdr:to>
          <xdr:col>6</xdr:col>
          <xdr:colOff>822960</xdr:colOff>
          <xdr:row>16</xdr:row>
          <xdr:rowOff>327660</xdr:rowOff>
        </xdr:to>
        <xdr:sp macro="" textlink="">
          <xdr:nvSpPr>
            <xdr:cNvPr id="5145" name="CheckBox13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xmlns="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876300</xdr:rowOff>
        </xdr:from>
        <xdr:to>
          <xdr:col>3</xdr:col>
          <xdr:colOff>411480</xdr:colOff>
          <xdr:row>16</xdr:row>
          <xdr:rowOff>1028700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xmlns="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655320</xdr:colOff>
          <xdr:row>13</xdr:row>
          <xdr:rowOff>259080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xmlns="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685800</xdr:rowOff>
        </xdr:from>
        <xdr:to>
          <xdr:col>3</xdr:col>
          <xdr:colOff>419100</xdr:colOff>
          <xdr:row>16</xdr:row>
          <xdr:rowOff>807720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xmlns="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16</xdr:row>
          <xdr:rowOff>403860</xdr:rowOff>
        </xdr:from>
        <xdr:to>
          <xdr:col>3</xdr:col>
          <xdr:colOff>419100</xdr:colOff>
          <xdr:row>16</xdr:row>
          <xdr:rowOff>579120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xmlns="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457200</xdr:colOff>
      <xdr:row>4</xdr:row>
      <xdr:rowOff>98854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73070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449580</xdr:colOff>
          <xdr:row>14</xdr:row>
          <xdr:rowOff>68580</xdr:rowOff>
        </xdr:from>
        <xdr:to>
          <xdr:col>7</xdr:col>
          <xdr:colOff>678180</xdr:colOff>
          <xdr:row>14</xdr:row>
          <xdr:rowOff>236220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xmlns="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15</xdr:row>
          <xdr:rowOff>7620</xdr:rowOff>
        </xdr:from>
        <xdr:to>
          <xdr:col>7</xdr:col>
          <xdr:colOff>670560</xdr:colOff>
          <xdr:row>15</xdr:row>
          <xdr:rowOff>190500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xmlns="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13</xdr:row>
          <xdr:rowOff>259080</xdr:rowOff>
        </xdr:from>
        <xdr:to>
          <xdr:col>12</xdr:col>
          <xdr:colOff>327660</xdr:colOff>
          <xdr:row>14</xdr:row>
          <xdr:rowOff>266700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xmlns="" id="{00000000-0008-0000-02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13</xdr:row>
          <xdr:rowOff>259080</xdr:rowOff>
        </xdr:from>
        <xdr:to>
          <xdr:col>13</xdr:col>
          <xdr:colOff>335280</xdr:colOff>
          <xdr:row>14</xdr:row>
          <xdr:rowOff>266700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xmlns="" id="{00000000-0008-0000-02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83820</xdr:colOff>
          <xdr:row>13</xdr:row>
          <xdr:rowOff>251460</xdr:rowOff>
        </xdr:from>
        <xdr:to>
          <xdr:col>14</xdr:col>
          <xdr:colOff>335280</xdr:colOff>
          <xdr:row>14</xdr:row>
          <xdr:rowOff>266700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xmlns="" id="{00000000-0008-0000-02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13</xdr:row>
          <xdr:rowOff>251460</xdr:rowOff>
        </xdr:from>
        <xdr:to>
          <xdr:col>15</xdr:col>
          <xdr:colOff>327660</xdr:colOff>
          <xdr:row>14</xdr:row>
          <xdr:rowOff>266700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xmlns="" id="{00000000-0008-0000-02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68580</xdr:colOff>
          <xdr:row>13</xdr:row>
          <xdr:rowOff>236220</xdr:rowOff>
        </xdr:from>
        <xdr:to>
          <xdr:col>16</xdr:col>
          <xdr:colOff>312420</xdr:colOff>
          <xdr:row>14</xdr:row>
          <xdr:rowOff>266700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xmlns="" id="{00000000-0008-0000-02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228600</xdr:colOff>
          <xdr:row>10</xdr:row>
          <xdr:rowOff>137160</xdr:rowOff>
        </xdr:from>
        <xdr:to>
          <xdr:col>23</xdr:col>
          <xdr:colOff>327660</xdr:colOff>
          <xdr:row>10</xdr:row>
          <xdr:rowOff>289560</xdr:rowOff>
        </xdr:to>
        <xdr:sp macro="" textlink="">
          <xdr:nvSpPr>
            <xdr:cNvPr id="2163" name="CheckBox1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xmlns="" id="{00000000-0008-0000-02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image" Target="../media/image16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36" Type="http://schemas.openxmlformats.org/officeDocument/2006/relationships/image" Target="../media/image17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8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image" Target="../media/image19.emf"/><Relationship Id="rId10" Type="http://schemas.openxmlformats.org/officeDocument/2006/relationships/ctrlProp" Target="../ctrlProps/ctrlProp12.xml"/><Relationship Id="rId4" Type="http://schemas.openxmlformats.org/officeDocument/2006/relationships/control" Target="../activeX/activeX18.xml"/><Relationship Id="rId9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AE21"/>
  <sheetViews>
    <sheetView rightToLeft="1" topLeftCell="D4" zoomScaleNormal="100" zoomScalePageLayoutView="84" workbookViewId="0">
      <selection activeCell="AE8" sqref="AE8"/>
    </sheetView>
  </sheetViews>
  <sheetFormatPr defaultColWidth="8.33203125" defaultRowHeight="16.8" x14ac:dyDescent="0.3"/>
  <cols>
    <col min="1" max="1" width="8.33203125" style="1"/>
    <col min="2" max="2" width="3.33203125" style="2" customWidth="1"/>
    <col min="3" max="3" width="10.44140625" style="1" customWidth="1"/>
    <col min="4" max="4" width="8.33203125" style="1" customWidth="1"/>
    <col min="5" max="6" width="3.6640625" style="1" customWidth="1"/>
    <col min="7" max="7" width="15.5546875" style="1" customWidth="1"/>
    <col min="8" max="8" width="13.33203125" style="1" customWidth="1"/>
    <col min="9" max="10" width="2.6640625" style="1" customWidth="1"/>
    <col min="11" max="11" width="6.88671875" style="1" customWidth="1"/>
    <col min="12" max="12" width="19.44140625" style="1" customWidth="1"/>
    <col min="13" max="17" width="5.6640625" style="1" customWidth="1"/>
    <col min="18" max="19" width="8.33203125" style="1" customWidth="1"/>
    <col min="20" max="20" width="10.33203125" style="1" hidden="1" customWidth="1"/>
    <col min="21" max="21" width="14.6640625" style="1" hidden="1" customWidth="1"/>
    <col min="22" max="23" width="8.33203125" style="1"/>
    <col min="24" max="24" width="5.6640625" style="1" customWidth="1"/>
    <col min="25" max="25" width="7.33203125" style="4" customWidth="1"/>
    <col min="26" max="31" width="4.6640625" style="1" customWidth="1"/>
    <col min="32" max="16384" width="8.33203125" style="1"/>
  </cols>
  <sheetData>
    <row r="1" spans="2:31" ht="12" customHeight="1" x14ac:dyDescent="0.3"/>
    <row r="2" spans="2:31" ht="15.75" customHeight="1" x14ac:dyDescent="0.3">
      <c r="B2" s="98" t="s">
        <v>19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</row>
    <row r="3" spans="2:31" ht="13.5" customHeight="1" x14ac:dyDescent="0.3">
      <c r="B3" s="101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3"/>
    </row>
    <row r="4" spans="2:31" ht="17.25" customHeight="1" x14ac:dyDescent="0.3">
      <c r="B4" s="104" t="s">
        <v>9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6"/>
    </row>
    <row r="5" spans="2:31" ht="9" customHeight="1" x14ac:dyDescent="0.3">
      <c r="B5" s="107"/>
      <c r="C5" s="108"/>
      <c r="D5" s="108"/>
      <c r="E5" s="108"/>
      <c r="F5" s="108"/>
      <c r="G5" s="105"/>
      <c r="H5" s="105"/>
      <c r="I5" s="105"/>
      <c r="J5" s="105"/>
      <c r="K5" s="108"/>
      <c r="L5" s="108"/>
      <c r="M5" s="108"/>
      <c r="N5" s="108"/>
      <c r="O5" s="108"/>
      <c r="P5" s="108"/>
      <c r="Q5" s="109"/>
    </row>
    <row r="6" spans="2:31" s="3" customFormat="1" ht="32.25" customHeight="1" x14ac:dyDescent="0.3">
      <c r="B6" s="90" t="s">
        <v>13</v>
      </c>
      <c r="C6" s="91"/>
      <c r="D6" s="18" t="s">
        <v>25</v>
      </c>
      <c r="E6" s="91" t="s">
        <v>4</v>
      </c>
      <c r="F6" s="91"/>
      <c r="G6" s="30" t="s">
        <v>23</v>
      </c>
      <c r="H6" s="30"/>
      <c r="I6" s="110" t="s">
        <v>6</v>
      </c>
      <c r="J6" s="111"/>
      <c r="K6" s="111"/>
      <c r="L6" s="19" t="s">
        <v>33</v>
      </c>
      <c r="M6" s="112" t="s">
        <v>5</v>
      </c>
      <c r="N6" s="113"/>
      <c r="O6" s="113"/>
      <c r="P6" s="13">
        <v>0</v>
      </c>
      <c r="Q6" s="14">
        <v>1401</v>
      </c>
      <c r="T6" s="17"/>
      <c r="U6" s="17"/>
      <c r="V6" s="1"/>
      <c r="W6" s="1"/>
      <c r="X6" s="1"/>
      <c r="Y6" s="4"/>
    </row>
    <row r="7" spans="2:31" s="3" customFormat="1" ht="29.25" customHeight="1" x14ac:dyDescent="0.3">
      <c r="B7" s="16" t="s">
        <v>0</v>
      </c>
      <c r="C7" s="90" t="s">
        <v>3</v>
      </c>
      <c r="D7" s="91"/>
      <c r="E7" s="91"/>
      <c r="F7" s="91"/>
      <c r="G7" s="92"/>
      <c r="H7" s="93"/>
      <c r="I7" s="94" t="s">
        <v>12</v>
      </c>
      <c r="J7" s="95"/>
      <c r="K7" s="7" t="s">
        <v>2</v>
      </c>
      <c r="L7" s="25" t="s">
        <v>1</v>
      </c>
      <c r="M7" s="96" t="s">
        <v>14</v>
      </c>
      <c r="N7" s="96"/>
      <c r="O7" s="96"/>
      <c r="P7" s="96"/>
      <c r="Q7" s="97"/>
      <c r="T7" s="17" t="s">
        <v>24</v>
      </c>
      <c r="U7" s="17" t="s">
        <v>20</v>
      </c>
      <c r="V7" s="1"/>
      <c r="W7" s="1"/>
      <c r="X7" s="1"/>
      <c r="Y7" s="26">
        <v>1</v>
      </c>
      <c r="Z7" s="17">
        <v>2</v>
      </c>
      <c r="AA7" s="17">
        <v>3</v>
      </c>
      <c r="AB7" s="17">
        <v>4</v>
      </c>
      <c r="AC7" s="17">
        <v>5</v>
      </c>
      <c r="AD7" s="17">
        <v>6</v>
      </c>
      <c r="AE7" s="17">
        <v>7</v>
      </c>
    </row>
    <row r="8" spans="2:31" ht="36" customHeight="1" x14ac:dyDescent="0.3">
      <c r="B8" s="5">
        <v>1</v>
      </c>
      <c r="C8" s="50"/>
      <c r="D8" s="51"/>
      <c r="E8" s="51"/>
      <c r="F8" s="51"/>
      <c r="G8" s="51"/>
      <c r="H8" s="52"/>
      <c r="I8" s="82"/>
      <c r="J8" s="83"/>
      <c r="K8" s="8"/>
      <c r="L8" s="20"/>
      <c r="M8" s="84" t="s">
        <v>16</v>
      </c>
      <c r="N8" s="84" t="s">
        <v>15</v>
      </c>
      <c r="O8" s="84" t="s">
        <v>29</v>
      </c>
      <c r="P8" s="87" t="s">
        <v>17</v>
      </c>
      <c r="Q8" s="84" t="s">
        <v>18</v>
      </c>
      <c r="T8" s="2" t="s">
        <v>25</v>
      </c>
      <c r="U8" s="2" t="s">
        <v>21</v>
      </c>
      <c r="V8" s="49"/>
      <c r="W8" s="49"/>
      <c r="X8" s="49"/>
      <c r="Y8" s="22" t="b">
        <v>0</v>
      </c>
      <c r="Z8" s="22" t="b">
        <v>0</v>
      </c>
      <c r="AA8" s="22" t="b">
        <v>0</v>
      </c>
      <c r="AB8" s="22" t="b">
        <v>1</v>
      </c>
      <c r="AC8" s="22" t="b">
        <v>1</v>
      </c>
      <c r="AD8" s="22" t="b">
        <v>1</v>
      </c>
      <c r="AE8" s="22" t="b">
        <v>0</v>
      </c>
    </row>
    <row r="9" spans="2:31" ht="33.75" customHeight="1" x14ac:dyDescent="0.3">
      <c r="B9" s="5">
        <v>2</v>
      </c>
      <c r="C9" s="50"/>
      <c r="D9" s="51"/>
      <c r="E9" s="51"/>
      <c r="F9" s="51"/>
      <c r="G9" s="51"/>
      <c r="H9" s="52"/>
      <c r="I9" s="82"/>
      <c r="J9" s="83"/>
      <c r="K9" s="8"/>
      <c r="L9" s="20"/>
      <c r="M9" s="85"/>
      <c r="N9" s="85"/>
      <c r="O9" s="85"/>
      <c r="P9" s="88"/>
      <c r="Q9" s="85"/>
      <c r="T9" s="2" t="s">
        <v>26</v>
      </c>
      <c r="U9" s="2" t="s">
        <v>22</v>
      </c>
      <c r="V9" s="49"/>
      <c r="W9" s="49"/>
      <c r="X9" s="49"/>
      <c r="Y9" s="28" t="str">
        <f>IF(AE8=TRUE,"تکمیل","درجریان")</f>
        <v>درجریان</v>
      </c>
      <c r="Z9" s="22"/>
    </row>
    <row r="10" spans="2:31" ht="33.75" customHeight="1" x14ac:dyDescent="0.3">
      <c r="B10" s="5">
        <v>3</v>
      </c>
      <c r="C10" s="50"/>
      <c r="D10" s="51"/>
      <c r="E10" s="51"/>
      <c r="F10" s="51"/>
      <c r="G10" s="51"/>
      <c r="H10" s="52"/>
      <c r="I10" s="82"/>
      <c r="J10" s="83"/>
      <c r="K10" s="8"/>
      <c r="L10" s="20"/>
      <c r="M10" s="85"/>
      <c r="N10" s="85"/>
      <c r="O10" s="85"/>
      <c r="P10" s="88"/>
      <c r="Q10" s="85"/>
      <c r="T10" s="2"/>
      <c r="U10" s="2" t="s">
        <v>23</v>
      </c>
      <c r="V10" s="49"/>
      <c r="W10" s="49"/>
      <c r="X10" s="49"/>
      <c r="Y10" s="4" t="b">
        <f>AND(Y8:AE8)</f>
        <v>0</v>
      </c>
      <c r="Z10" s="22"/>
    </row>
    <row r="11" spans="2:31" ht="33.75" customHeight="1" x14ac:dyDescent="0.3">
      <c r="B11" s="5">
        <v>4</v>
      </c>
      <c r="C11" s="50"/>
      <c r="D11" s="51"/>
      <c r="E11" s="51"/>
      <c r="F11" s="51"/>
      <c r="G11" s="51"/>
      <c r="H11" s="52"/>
      <c r="I11" s="82"/>
      <c r="J11" s="83"/>
      <c r="K11" s="8"/>
      <c r="L11" s="20"/>
      <c r="M11" s="85"/>
      <c r="N11" s="85"/>
      <c r="O11" s="85"/>
      <c r="P11" s="88"/>
      <c r="Q11" s="85"/>
      <c r="T11" s="2"/>
      <c r="U11" s="2"/>
      <c r="V11" s="49"/>
      <c r="W11" s="49"/>
      <c r="X11" s="49"/>
      <c r="Z11" s="22"/>
    </row>
    <row r="12" spans="2:31" ht="33.75" customHeight="1" x14ac:dyDescent="0.3">
      <c r="B12" s="5">
        <v>5</v>
      </c>
      <c r="C12" s="50"/>
      <c r="D12" s="51"/>
      <c r="E12" s="51"/>
      <c r="F12" s="51"/>
      <c r="G12" s="51"/>
      <c r="H12" s="52"/>
      <c r="I12" s="82"/>
      <c r="J12" s="83"/>
      <c r="K12" s="8"/>
      <c r="L12" s="20"/>
      <c r="M12" s="85"/>
      <c r="N12" s="85"/>
      <c r="O12" s="85"/>
      <c r="P12" s="88"/>
      <c r="Q12" s="85"/>
      <c r="T12" s="2"/>
      <c r="U12" s="2"/>
      <c r="V12" s="49"/>
      <c r="W12" s="49"/>
      <c r="X12" s="49"/>
      <c r="Z12" s="22"/>
    </row>
    <row r="13" spans="2:31" ht="27.9" customHeight="1" x14ac:dyDescent="0.3">
      <c r="B13" s="5">
        <v>6</v>
      </c>
      <c r="C13" s="50"/>
      <c r="D13" s="51"/>
      <c r="E13" s="51"/>
      <c r="F13" s="51"/>
      <c r="G13" s="51"/>
      <c r="H13" s="52"/>
      <c r="I13" s="82"/>
      <c r="J13" s="83"/>
      <c r="K13" s="8"/>
      <c r="L13" s="20"/>
      <c r="M13" s="86"/>
      <c r="N13" s="86"/>
      <c r="O13" s="86"/>
      <c r="P13" s="89"/>
      <c r="Q13" s="86"/>
      <c r="T13" s="2"/>
      <c r="U13" s="2"/>
      <c r="V13" s="49"/>
      <c r="W13" s="49"/>
      <c r="X13" s="49"/>
      <c r="Z13" s="22"/>
    </row>
    <row r="14" spans="2:31" s="6" customFormat="1" ht="21" customHeight="1" x14ac:dyDescent="0.3">
      <c r="B14" s="68" t="s">
        <v>8</v>
      </c>
      <c r="C14" s="69"/>
      <c r="D14" s="70"/>
      <c r="E14" s="71" t="s">
        <v>7</v>
      </c>
      <c r="F14" s="72"/>
      <c r="G14" s="73"/>
      <c r="H14" s="74" t="s">
        <v>10</v>
      </c>
      <c r="I14" s="75"/>
      <c r="J14" s="75"/>
      <c r="K14" s="76"/>
      <c r="L14" s="77" t="s">
        <v>11</v>
      </c>
      <c r="M14" s="54"/>
      <c r="N14" s="79"/>
      <c r="O14" s="54"/>
      <c r="P14" s="57"/>
      <c r="Q14" s="58"/>
      <c r="S14" s="61"/>
      <c r="Y14" s="21"/>
    </row>
    <row r="15" spans="2:31" ht="25.5" customHeight="1" x14ac:dyDescent="0.3">
      <c r="B15" s="62"/>
      <c r="C15" s="63"/>
      <c r="D15" s="64"/>
      <c r="E15" s="62"/>
      <c r="F15" s="63"/>
      <c r="G15" s="64"/>
      <c r="H15" s="24" t="s">
        <v>27</v>
      </c>
      <c r="I15" s="63"/>
      <c r="J15" s="63"/>
      <c r="K15" s="64"/>
      <c r="L15" s="78"/>
      <c r="M15" s="55"/>
      <c r="N15" s="80"/>
      <c r="O15" s="55"/>
      <c r="P15" s="57"/>
      <c r="Q15" s="59"/>
      <c r="S15" s="61"/>
    </row>
    <row r="16" spans="2:31" ht="19.5" customHeight="1" x14ac:dyDescent="0.3">
      <c r="B16" s="62"/>
      <c r="C16" s="63"/>
      <c r="D16" s="64"/>
      <c r="E16" s="62"/>
      <c r="F16" s="63"/>
      <c r="G16" s="64"/>
      <c r="H16" s="24" t="s">
        <v>28</v>
      </c>
      <c r="I16" s="63"/>
      <c r="J16" s="63"/>
      <c r="K16" s="64"/>
      <c r="L16" s="27" t="s">
        <v>30</v>
      </c>
      <c r="M16" s="55"/>
      <c r="N16" s="80"/>
      <c r="O16" s="55"/>
      <c r="P16" s="57"/>
      <c r="Q16" s="59"/>
      <c r="S16" s="61"/>
    </row>
    <row r="17" spans="2:25" s="3" customFormat="1" ht="19.5" customHeight="1" x14ac:dyDescent="0.3">
      <c r="B17" s="65"/>
      <c r="C17" s="66"/>
      <c r="D17" s="67"/>
      <c r="E17" s="65"/>
      <c r="F17" s="66"/>
      <c r="G17" s="67"/>
      <c r="H17" s="23"/>
      <c r="I17" s="66"/>
      <c r="J17" s="66"/>
      <c r="K17" s="67"/>
      <c r="L17" s="29" t="s">
        <v>33</v>
      </c>
      <c r="M17" s="56"/>
      <c r="N17" s="81"/>
      <c r="O17" s="56"/>
      <c r="P17" s="57"/>
      <c r="Q17" s="60"/>
      <c r="S17" s="61"/>
      <c r="Y17" s="4"/>
    </row>
    <row r="18" spans="2:25" ht="15" customHeight="1" x14ac:dyDescent="0.5">
      <c r="B18" s="9"/>
      <c r="C18" s="9"/>
      <c r="D18" s="9"/>
      <c r="E18" s="10"/>
      <c r="F18" s="12"/>
      <c r="G18" s="12"/>
      <c r="H18" s="9"/>
      <c r="I18" s="9"/>
      <c r="J18" s="9"/>
      <c r="K18" s="9"/>
      <c r="L18" s="9"/>
      <c r="M18" s="9"/>
      <c r="N18" s="9"/>
      <c r="O18" s="15"/>
      <c r="P18" s="9"/>
      <c r="Q18" s="9"/>
    </row>
    <row r="19" spans="2:25" ht="11.25" customHeight="1" x14ac:dyDescent="0.3">
      <c r="B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2:25" s="4" customFormat="1" ht="16.5" customHeight="1" x14ac:dyDescent="0.3"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</row>
    <row r="21" spans="2:25" x14ac:dyDescent="0.3">
      <c r="D21" s="11"/>
      <c r="E21" s="11"/>
    </row>
  </sheetData>
  <mergeCells count="46">
    <mergeCell ref="B2:Q3"/>
    <mergeCell ref="B4:Q5"/>
    <mergeCell ref="B6:C6"/>
    <mergeCell ref="E6:F6"/>
    <mergeCell ref="I6:K6"/>
    <mergeCell ref="M6:O6"/>
    <mergeCell ref="C7:H7"/>
    <mergeCell ref="I7:J7"/>
    <mergeCell ref="M7:Q7"/>
    <mergeCell ref="C8:H8"/>
    <mergeCell ref="I8:J8"/>
    <mergeCell ref="M8:M13"/>
    <mergeCell ref="I11:J11"/>
    <mergeCell ref="I10:J10"/>
    <mergeCell ref="V11:X11"/>
    <mergeCell ref="C12:H12"/>
    <mergeCell ref="I12:J12"/>
    <mergeCell ref="V12:X12"/>
    <mergeCell ref="N8:N13"/>
    <mergeCell ref="O8:O13"/>
    <mergeCell ref="C13:H13"/>
    <mergeCell ref="I13:J13"/>
    <mergeCell ref="V13:X13"/>
    <mergeCell ref="P8:P13"/>
    <mergeCell ref="Q8:Q13"/>
    <mergeCell ref="V8:X8"/>
    <mergeCell ref="C9:H9"/>
    <mergeCell ref="I9:J9"/>
    <mergeCell ref="V9:X9"/>
    <mergeCell ref="C10:H10"/>
    <mergeCell ref="V10:X10"/>
    <mergeCell ref="C11:H11"/>
    <mergeCell ref="B20:Q20"/>
    <mergeCell ref="O14:O17"/>
    <mergeCell ref="P14:P17"/>
    <mergeCell ref="Q14:Q17"/>
    <mergeCell ref="S14:S17"/>
    <mergeCell ref="B15:D17"/>
    <mergeCell ref="E15:G17"/>
    <mergeCell ref="I15:K17"/>
    <mergeCell ref="B14:D14"/>
    <mergeCell ref="E14:G14"/>
    <mergeCell ref="H14:K14"/>
    <mergeCell ref="L14:L15"/>
    <mergeCell ref="M14:M17"/>
    <mergeCell ref="N14:N17"/>
  </mergeCells>
  <dataValidations count="2">
    <dataValidation type="list" allowBlank="1" showInputMessage="1" showErrorMessage="1" sqref="D6">
      <formula1>$T$6:$T$12</formula1>
    </dataValidation>
    <dataValidation type="list" allowBlank="1" showInputMessage="1" showErrorMessage="1" sqref="G6:H6">
      <formula1>$U$6:$U$13</formula1>
    </dataValidation>
  </dataValidations>
  <pageMargins left="0.51181102362204722" right="0.51181102362204722" top="0.55118110236220474" bottom="0.35433070866141736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7</xdr:col>
                    <xdr:colOff>449580</xdr:colOff>
                    <xdr:row>14</xdr:row>
                    <xdr:rowOff>68580</xdr:rowOff>
                  </from>
                  <to>
                    <xdr:col>7</xdr:col>
                    <xdr:colOff>678180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7</xdr:col>
                    <xdr:colOff>441960</xdr:colOff>
                    <xdr:row>15</xdr:row>
                    <xdr:rowOff>7620</xdr:rowOff>
                  </from>
                  <to>
                    <xdr:col>7</xdr:col>
                    <xdr:colOff>670560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Check Box 3">
              <controlPr defaultSize="0" autoFill="0" autoLine="0" autoPict="0">
                <anchor moveWithCells="1">
                  <from>
                    <xdr:col>12</xdr:col>
                    <xdr:colOff>76200</xdr:colOff>
                    <xdr:row>13</xdr:row>
                    <xdr:rowOff>259080</xdr:rowOff>
                  </from>
                  <to>
                    <xdr:col>12</xdr:col>
                    <xdr:colOff>327660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Check Box 4">
              <controlPr defaultSize="0" autoFill="0" autoLine="0" autoPict="0">
                <anchor moveWithCells="1">
                  <from>
                    <xdr:col>13</xdr:col>
                    <xdr:colOff>83820</xdr:colOff>
                    <xdr:row>13</xdr:row>
                    <xdr:rowOff>259080</xdr:rowOff>
                  </from>
                  <to>
                    <xdr:col>13</xdr:col>
                    <xdr:colOff>335280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Check Box 5">
              <controlPr defaultSize="0" autoFill="0" autoLine="0" autoPict="0">
                <anchor moveWithCells="1">
                  <from>
                    <xdr:col>14</xdr:col>
                    <xdr:colOff>83820</xdr:colOff>
                    <xdr:row>13</xdr:row>
                    <xdr:rowOff>251460</xdr:rowOff>
                  </from>
                  <to>
                    <xdr:col>14</xdr:col>
                    <xdr:colOff>335280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Check Box 6">
              <controlPr defaultSize="0" autoFill="0" autoLine="0" autoPict="0">
                <anchor moveWithCells="1">
                  <from>
                    <xdr:col>15</xdr:col>
                    <xdr:colOff>76200</xdr:colOff>
                    <xdr:row>13</xdr:row>
                    <xdr:rowOff>251460</xdr:rowOff>
                  </from>
                  <to>
                    <xdr:col>15</xdr:col>
                    <xdr:colOff>327660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Check Box 7">
              <controlPr defaultSize="0" autoFill="0" autoLine="0" autoPict="0">
                <anchor moveWithCells="1">
                  <from>
                    <xdr:col>16</xdr:col>
                    <xdr:colOff>68580</xdr:colOff>
                    <xdr:row>13</xdr:row>
                    <xdr:rowOff>236220</xdr:rowOff>
                  </from>
                  <to>
                    <xdr:col>16</xdr:col>
                    <xdr:colOff>312420</xdr:colOff>
                    <xdr:row>14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U21"/>
  <sheetViews>
    <sheetView showGridLines="0" showRowColHeaders="0" rightToLeft="1" tabSelected="1" topLeftCell="A4" zoomScaleNormal="100" zoomScalePageLayoutView="84" workbookViewId="0">
      <selection activeCell="Q6" sqref="Q6"/>
    </sheetView>
  </sheetViews>
  <sheetFormatPr defaultColWidth="8.33203125" defaultRowHeight="16.8" x14ac:dyDescent="0.3"/>
  <cols>
    <col min="1" max="1" width="8.33203125" style="1"/>
    <col min="2" max="2" width="3.33203125" style="2" customWidth="1"/>
    <col min="3" max="3" width="10.44140625" style="1" customWidth="1"/>
    <col min="4" max="4" width="8.33203125" style="1" customWidth="1"/>
    <col min="5" max="6" width="3.6640625" style="1" customWidth="1"/>
    <col min="7" max="7" width="15.5546875" style="1" customWidth="1"/>
    <col min="8" max="8" width="16.88671875" style="1" customWidth="1"/>
    <col min="9" max="9" width="2.6640625" style="1" customWidth="1"/>
    <col min="10" max="10" width="5.6640625" style="1" customWidth="1"/>
    <col min="11" max="11" width="7.6640625" style="1" customWidth="1"/>
    <col min="12" max="12" width="8.44140625" style="1" customWidth="1"/>
    <col min="13" max="13" width="6.88671875" style="1" customWidth="1"/>
    <col min="14" max="14" width="19" style="1" customWidth="1"/>
    <col min="15" max="15" width="6.109375" style="1" customWidth="1"/>
    <col min="16" max="16" width="6.88671875" style="1" customWidth="1"/>
    <col min="17" max="19" width="5.6640625" style="1" customWidth="1"/>
    <col min="20" max="20" width="7.88671875" style="1" hidden="1" customWidth="1"/>
    <col min="21" max="21" width="8.33203125" style="1" hidden="1" customWidth="1"/>
    <col min="22" max="22" width="10.33203125" style="1" hidden="1" customWidth="1"/>
    <col min="23" max="23" width="14.6640625" style="1" hidden="1" customWidth="1"/>
    <col min="24" max="25" width="8.33203125" style="1" hidden="1" customWidth="1"/>
    <col min="26" max="26" width="5.6640625" style="1" hidden="1" customWidth="1"/>
    <col min="27" max="27" width="7.33203125" style="4" hidden="1" customWidth="1"/>
    <col min="28" max="33" width="4.6640625" style="1" hidden="1" customWidth="1"/>
    <col min="34" max="47" width="8.33203125" style="1" hidden="1" customWidth="1"/>
    <col min="48" max="61" width="8.33203125" style="1" customWidth="1"/>
    <col min="62" max="16384" width="8.33203125" style="1"/>
  </cols>
  <sheetData>
    <row r="1" spans="2:47" ht="12" customHeight="1" x14ac:dyDescent="0.3"/>
    <row r="2" spans="2:47" ht="15.75" customHeight="1" x14ac:dyDescent="0.3">
      <c r="B2" s="98" t="s">
        <v>19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00"/>
    </row>
    <row r="3" spans="2:47" ht="13.5" customHeight="1" x14ac:dyDescent="0.3">
      <c r="B3" s="101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3"/>
    </row>
    <row r="4" spans="2:47" ht="17.25" customHeight="1" x14ac:dyDescent="0.3">
      <c r="B4" s="104" t="s">
        <v>9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6"/>
      <c r="W4" s="1" t="str">
        <f>S6&amp;R6&amp;Q6</f>
        <v>4019272</v>
      </c>
    </row>
    <row r="5" spans="2:47" ht="9" customHeight="1" x14ac:dyDescent="0.3">
      <c r="B5" s="107"/>
      <c r="C5" s="108"/>
      <c r="D5" s="108"/>
      <c r="E5" s="108"/>
      <c r="F5" s="108"/>
      <c r="G5" s="105"/>
      <c r="H5" s="105"/>
      <c r="I5" s="105"/>
      <c r="J5" s="105"/>
      <c r="K5" s="105"/>
      <c r="L5" s="105"/>
      <c r="M5" s="108"/>
      <c r="N5" s="108"/>
      <c r="O5" s="108"/>
      <c r="P5" s="108"/>
      <c r="Q5" s="108"/>
      <c r="R5" s="108"/>
      <c r="S5" s="109"/>
      <c r="AS5" s="3" t="s">
        <v>45</v>
      </c>
    </row>
    <row r="6" spans="2:47" s="3" customFormat="1" ht="32.25" customHeight="1" x14ac:dyDescent="0.3">
      <c r="B6" s="90" t="s">
        <v>13</v>
      </c>
      <c r="C6" s="91"/>
      <c r="D6" s="35" t="s">
        <v>57</v>
      </c>
      <c r="E6" s="91" t="s">
        <v>4</v>
      </c>
      <c r="F6" s="91"/>
      <c r="G6" s="36" t="s">
        <v>38</v>
      </c>
      <c r="H6" s="30">
        <f>IF(G6=W7,770,IF(G6=W8,880,IF(G6=W9,777,IF(G6=W10,667,IF(G6=W11,666,IF(G6=W12,110,IF(G6=W13,210,)))))))</f>
        <v>777</v>
      </c>
      <c r="I6" s="110" t="s">
        <v>6</v>
      </c>
      <c r="J6" s="111"/>
      <c r="K6" s="111"/>
      <c r="L6" s="111"/>
      <c r="M6" s="111"/>
      <c r="N6" s="46" t="s">
        <v>61</v>
      </c>
      <c r="O6" s="112" t="s">
        <v>35</v>
      </c>
      <c r="P6" s="113"/>
      <c r="Q6" s="37">
        <v>272</v>
      </c>
      <c r="R6" s="38">
        <v>9</v>
      </c>
      <c r="S6" s="39">
        <v>401</v>
      </c>
      <c r="V6" s="17"/>
      <c r="W6" s="17"/>
      <c r="X6" s="114"/>
      <c r="Y6" s="114"/>
      <c r="Z6" s="114"/>
      <c r="AA6" s="4"/>
      <c r="AS6" s="3" t="s">
        <v>46</v>
      </c>
    </row>
    <row r="7" spans="2:47" s="3" customFormat="1" ht="29.25" customHeight="1" x14ac:dyDescent="0.3">
      <c r="B7" s="16" t="s">
        <v>0</v>
      </c>
      <c r="C7" s="90" t="s">
        <v>3</v>
      </c>
      <c r="D7" s="91"/>
      <c r="E7" s="91"/>
      <c r="F7" s="91"/>
      <c r="G7" s="92"/>
      <c r="H7" s="93"/>
      <c r="I7" s="94" t="s">
        <v>12</v>
      </c>
      <c r="J7" s="95"/>
      <c r="K7" s="44" t="s">
        <v>54</v>
      </c>
      <c r="L7" s="44" t="s">
        <v>55</v>
      </c>
      <c r="M7" s="7" t="s">
        <v>2</v>
      </c>
      <c r="N7" s="25" t="s">
        <v>1</v>
      </c>
      <c r="O7" s="96" t="s">
        <v>14</v>
      </c>
      <c r="P7" s="96"/>
      <c r="Q7" s="96"/>
      <c r="R7" s="96"/>
      <c r="S7" s="97"/>
      <c r="V7" s="17" t="s">
        <v>24</v>
      </c>
      <c r="W7" s="17" t="s">
        <v>20</v>
      </c>
      <c r="X7" s="40" t="b">
        <v>1</v>
      </c>
      <c r="Y7" s="40"/>
      <c r="Z7" s="40"/>
      <c r="AA7" s="26">
        <v>1</v>
      </c>
      <c r="AB7" s="17">
        <v>2</v>
      </c>
      <c r="AC7" s="17">
        <v>3</v>
      </c>
      <c r="AD7" s="17">
        <v>4</v>
      </c>
      <c r="AE7" s="17">
        <v>5</v>
      </c>
      <c r="AF7" s="17">
        <v>6</v>
      </c>
      <c r="AG7" s="17">
        <v>7</v>
      </c>
      <c r="AH7" s="3">
        <v>1</v>
      </c>
      <c r="AS7" s="1" t="s">
        <v>47</v>
      </c>
    </row>
    <row r="8" spans="2:47" ht="36" customHeight="1" x14ac:dyDescent="0.3">
      <c r="B8" s="5">
        <v>1</v>
      </c>
      <c r="C8" s="117" t="s">
        <v>59</v>
      </c>
      <c r="D8" s="118"/>
      <c r="E8" s="118"/>
      <c r="F8" s="118"/>
      <c r="G8" s="118"/>
      <c r="H8" s="119"/>
      <c r="I8" s="115">
        <v>2000</v>
      </c>
      <c r="J8" s="116"/>
      <c r="K8" s="45">
        <v>0</v>
      </c>
      <c r="L8" s="48">
        <f>I8-K8</f>
        <v>2000</v>
      </c>
      <c r="M8" s="33" t="s">
        <v>46</v>
      </c>
      <c r="N8" s="34" t="s">
        <v>60</v>
      </c>
      <c r="O8" s="84" t="s">
        <v>16</v>
      </c>
      <c r="P8" s="84" t="s">
        <v>15</v>
      </c>
      <c r="Q8" s="84" t="s">
        <v>29</v>
      </c>
      <c r="R8" s="84" t="s">
        <v>17</v>
      </c>
      <c r="S8" s="84" t="s">
        <v>18</v>
      </c>
      <c r="V8" s="2" t="s">
        <v>25</v>
      </c>
      <c r="W8" s="2" t="s">
        <v>21</v>
      </c>
      <c r="X8" s="40" t="b">
        <v>0</v>
      </c>
      <c r="Y8" s="40"/>
      <c r="Z8" s="40"/>
      <c r="AA8" s="22" t="b">
        <v>0</v>
      </c>
      <c r="AB8" s="22" t="b">
        <v>0</v>
      </c>
      <c r="AC8" s="22" t="b">
        <v>0</v>
      </c>
      <c r="AD8" s="22" t="b">
        <v>0</v>
      </c>
      <c r="AE8" s="22" t="b">
        <v>0</v>
      </c>
      <c r="AF8" s="22" t="b">
        <v>0</v>
      </c>
      <c r="AG8" s="22" t="b">
        <v>0</v>
      </c>
      <c r="AH8" s="1">
        <v>2</v>
      </c>
      <c r="AS8" s="1" t="s">
        <v>48</v>
      </c>
    </row>
    <row r="9" spans="2:47" ht="33.75" customHeight="1" x14ac:dyDescent="0.3">
      <c r="B9" s="5">
        <v>2</v>
      </c>
      <c r="C9" s="117" t="s">
        <v>64</v>
      </c>
      <c r="D9" s="118"/>
      <c r="E9" s="118"/>
      <c r="F9" s="118"/>
      <c r="G9" s="118"/>
      <c r="H9" s="119"/>
      <c r="I9" s="115">
        <v>200</v>
      </c>
      <c r="J9" s="116"/>
      <c r="K9" s="45">
        <v>0</v>
      </c>
      <c r="L9" s="48">
        <f t="shared" ref="L9:L13" si="0">I9-K9</f>
        <v>200</v>
      </c>
      <c r="M9" s="33" t="s">
        <v>45</v>
      </c>
      <c r="N9" s="34"/>
      <c r="O9" s="85"/>
      <c r="P9" s="85"/>
      <c r="Q9" s="85"/>
      <c r="R9" s="85"/>
      <c r="S9" s="85"/>
      <c r="V9" s="2" t="s">
        <v>26</v>
      </c>
      <c r="W9" s="2" t="s">
        <v>38</v>
      </c>
      <c r="X9" s="40" t="b">
        <v>0</v>
      </c>
      <c r="Y9" s="40"/>
      <c r="Z9" s="40"/>
      <c r="AA9" s="28" t="str">
        <f>IF(AG8=TRUE,"تکمیل","درجریان")</f>
        <v>درجریان</v>
      </c>
      <c r="AB9" s="22"/>
      <c r="AH9" s="1">
        <v>3</v>
      </c>
      <c r="AP9" s="1" t="b">
        <v>1</v>
      </c>
      <c r="AS9" s="1" t="s">
        <v>49</v>
      </c>
    </row>
    <row r="10" spans="2:47" ht="33.75" customHeight="1" x14ac:dyDescent="0.3">
      <c r="B10" s="5">
        <v>3</v>
      </c>
      <c r="C10" s="117" t="s">
        <v>62</v>
      </c>
      <c r="D10" s="118"/>
      <c r="E10" s="118"/>
      <c r="F10" s="118"/>
      <c r="G10" s="118"/>
      <c r="H10" s="119"/>
      <c r="I10" s="115">
        <v>50</v>
      </c>
      <c r="J10" s="116"/>
      <c r="K10" s="45">
        <v>0</v>
      </c>
      <c r="L10" s="48">
        <f t="shared" si="0"/>
        <v>50</v>
      </c>
      <c r="M10" s="33" t="s">
        <v>46</v>
      </c>
      <c r="N10" s="34"/>
      <c r="O10" s="85"/>
      <c r="P10" s="85"/>
      <c r="Q10" s="85"/>
      <c r="R10" s="85"/>
      <c r="S10" s="85"/>
      <c r="V10" s="2" t="s">
        <v>34</v>
      </c>
      <c r="W10" s="2" t="s">
        <v>23</v>
      </c>
      <c r="X10" s="40" t="b">
        <v>0</v>
      </c>
      <c r="Y10" s="40"/>
      <c r="Z10" s="40"/>
      <c r="AB10" s="22"/>
      <c r="AH10" s="1">
        <v>4</v>
      </c>
      <c r="AS10" s="1" t="s">
        <v>50</v>
      </c>
    </row>
    <row r="11" spans="2:47" ht="33.75" customHeight="1" x14ac:dyDescent="0.3">
      <c r="B11" s="5">
        <v>4</v>
      </c>
      <c r="C11" s="117" t="s">
        <v>63</v>
      </c>
      <c r="D11" s="118"/>
      <c r="E11" s="118"/>
      <c r="F11" s="118"/>
      <c r="G11" s="118"/>
      <c r="H11" s="119"/>
      <c r="I11" s="115">
        <v>50</v>
      </c>
      <c r="J11" s="116"/>
      <c r="K11" s="45">
        <v>0</v>
      </c>
      <c r="L11" s="48">
        <f t="shared" si="0"/>
        <v>50</v>
      </c>
      <c r="M11" s="33" t="s">
        <v>45</v>
      </c>
      <c r="N11" s="34"/>
      <c r="O11" s="85"/>
      <c r="P11" s="85"/>
      <c r="Q11" s="85"/>
      <c r="R11" s="85"/>
      <c r="S11" s="85"/>
      <c r="V11" s="2" t="s">
        <v>56</v>
      </c>
      <c r="W11" s="2" t="s">
        <v>39</v>
      </c>
      <c r="X11" s="40" t="b">
        <v>0</v>
      </c>
      <c r="Y11" s="40"/>
      <c r="Z11" s="40"/>
      <c r="AB11" s="22"/>
      <c r="AH11" s="1">
        <v>5</v>
      </c>
      <c r="AS11" s="1" t="s">
        <v>51</v>
      </c>
    </row>
    <row r="12" spans="2:47" ht="33.75" customHeight="1" x14ac:dyDescent="0.3">
      <c r="B12" s="5">
        <v>5</v>
      </c>
      <c r="C12" s="117" t="s">
        <v>65</v>
      </c>
      <c r="D12" s="118"/>
      <c r="E12" s="118"/>
      <c r="F12" s="118"/>
      <c r="G12" s="118"/>
      <c r="H12" s="119"/>
      <c r="I12" s="115">
        <v>5</v>
      </c>
      <c r="J12" s="116"/>
      <c r="K12" s="45">
        <v>0</v>
      </c>
      <c r="L12" s="48">
        <f t="shared" si="0"/>
        <v>5</v>
      </c>
      <c r="M12" s="33"/>
      <c r="N12" s="34"/>
      <c r="O12" s="85"/>
      <c r="P12" s="85"/>
      <c r="Q12" s="85"/>
      <c r="R12" s="85"/>
      <c r="S12" s="85"/>
      <c r="V12" s="2" t="s">
        <v>57</v>
      </c>
      <c r="W12" s="2" t="s">
        <v>36</v>
      </c>
      <c r="X12" s="40" t="b">
        <v>0</v>
      </c>
      <c r="Y12" s="40"/>
      <c r="Z12" s="40"/>
      <c r="AB12" s="22"/>
      <c r="AH12" s="1">
        <v>6</v>
      </c>
      <c r="AR12" s="1" t="s">
        <v>42</v>
      </c>
      <c r="AS12" s="1" t="s">
        <v>52</v>
      </c>
    </row>
    <row r="13" spans="2:47" ht="27.9" customHeight="1" x14ac:dyDescent="0.3">
      <c r="B13" s="32">
        <v>6</v>
      </c>
      <c r="C13" s="121"/>
      <c r="D13" s="122"/>
      <c r="E13" s="122"/>
      <c r="F13" s="122"/>
      <c r="G13" s="122"/>
      <c r="H13" s="119"/>
      <c r="I13" s="115">
        <v>0</v>
      </c>
      <c r="J13" s="116"/>
      <c r="K13" s="45">
        <v>0</v>
      </c>
      <c r="L13" s="48">
        <f t="shared" si="0"/>
        <v>0</v>
      </c>
      <c r="M13" s="33"/>
      <c r="N13" s="34"/>
      <c r="O13" s="86"/>
      <c r="P13" s="86"/>
      <c r="Q13" s="86"/>
      <c r="R13" s="86"/>
      <c r="S13" s="86"/>
      <c r="V13" s="2"/>
      <c r="W13" s="2" t="s">
        <v>37</v>
      </c>
      <c r="X13" s="40" t="b">
        <v>0</v>
      </c>
      <c r="Y13" s="40"/>
      <c r="Z13" s="40"/>
      <c r="AB13" s="22"/>
      <c r="AH13" s="1">
        <v>7</v>
      </c>
      <c r="AS13" s="3" t="s">
        <v>53</v>
      </c>
      <c r="AU13" s="1" t="s">
        <v>42</v>
      </c>
    </row>
    <row r="14" spans="2:47" s="6" customFormat="1" ht="21" customHeight="1" x14ac:dyDescent="0.3">
      <c r="B14" s="68" t="s">
        <v>8</v>
      </c>
      <c r="C14" s="69"/>
      <c r="D14" s="69"/>
      <c r="E14" s="131" t="s">
        <v>44</v>
      </c>
      <c r="F14" s="132"/>
      <c r="G14" s="133"/>
      <c r="H14" s="75" t="s">
        <v>10</v>
      </c>
      <c r="I14" s="75"/>
      <c r="J14" s="75"/>
      <c r="K14" s="75"/>
      <c r="L14" s="75"/>
      <c r="M14" s="76"/>
      <c r="N14" s="77" t="s">
        <v>11</v>
      </c>
      <c r="O14" s="54"/>
      <c r="P14" s="79"/>
      <c r="Q14" s="54"/>
      <c r="R14" s="57"/>
      <c r="S14" s="58"/>
      <c r="U14" s="61"/>
      <c r="X14" s="41" t="b">
        <v>0</v>
      </c>
      <c r="Y14" s="41"/>
      <c r="Z14" s="41"/>
      <c r="AA14" s="21"/>
    </row>
    <row r="15" spans="2:47" ht="27" customHeight="1" x14ac:dyDescent="0.3">
      <c r="B15" s="123" t="s">
        <v>58</v>
      </c>
      <c r="C15" s="124"/>
      <c r="D15" s="125"/>
      <c r="E15" s="134"/>
      <c r="F15" s="135"/>
      <c r="G15" s="136"/>
      <c r="H15" s="130" t="s">
        <v>40</v>
      </c>
      <c r="I15" s="124"/>
      <c r="J15" s="124"/>
      <c r="K15" s="124"/>
      <c r="L15" s="124"/>
      <c r="M15" s="125"/>
      <c r="N15" s="78"/>
      <c r="O15" s="55"/>
      <c r="P15" s="80"/>
      <c r="Q15" s="55"/>
      <c r="R15" s="57"/>
      <c r="S15" s="59"/>
      <c r="U15" s="61"/>
      <c r="X15" s="40" t="b">
        <v>0</v>
      </c>
      <c r="Y15" s="40"/>
      <c r="Z15" s="40"/>
    </row>
    <row r="16" spans="2:47" ht="21.9" customHeight="1" x14ac:dyDescent="0.3">
      <c r="B16" s="126"/>
      <c r="C16" s="124"/>
      <c r="D16" s="125"/>
      <c r="E16" s="131" t="s">
        <v>43</v>
      </c>
      <c r="F16" s="132"/>
      <c r="G16" s="133"/>
      <c r="H16" s="130"/>
      <c r="I16" s="124"/>
      <c r="J16" s="124"/>
      <c r="K16" s="124"/>
      <c r="L16" s="124"/>
      <c r="M16" s="125"/>
      <c r="N16" s="27" t="s">
        <v>30</v>
      </c>
      <c r="O16" s="55"/>
      <c r="P16" s="80"/>
      <c r="Q16" s="55"/>
      <c r="R16" s="57"/>
      <c r="S16" s="59"/>
      <c r="U16" s="61"/>
      <c r="X16" s="40" t="b">
        <v>0</v>
      </c>
      <c r="Y16" s="40"/>
      <c r="Z16" s="40"/>
    </row>
    <row r="17" spans="2:27" s="3" customFormat="1" ht="93.75" customHeight="1" x14ac:dyDescent="0.3">
      <c r="B17" s="127"/>
      <c r="C17" s="128"/>
      <c r="D17" s="129"/>
      <c r="E17" s="134"/>
      <c r="F17" s="135"/>
      <c r="G17" s="136"/>
      <c r="H17" s="31" t="s">
        <v>41</v>
      </c>
      <c r="I17" s="128"/>
      <c r="J17" s="128"/>
      <c r="K17" s="128"/>
      <c r="L17" s="128"/>
      <c r="M17" s="129"/>
      <c r="N17" s="47" t="s">
        <v>66</v>
      </c>
      <c r="O17" s="56"/>
      <c r="P17" s="81"/>
      <c r="Q17" s="56"/>
      <c r="R17" s="57"/>
      <c r="S17" s="60"/>
      <c r="U17" s="61"/>
      <c r="X17" s="42" t="b">
        <v>0</v>
      </c>
      <c r="Y17" s="42"/>
      <c r="Z17" s="42"/>
      <c r="AA17" s="4"/>
    </row>
    <row r="18" spans="2:27" ht="15" customHeight="1" x14ac:dyDescent="0.5">
      <c r="B18" s="9"/>
      <c r="C18" s="9"/>
      <c r="D18" s="9"/>
      <c r="E18" s="10"/>
      <c r="F18" s="12"/>
      <c r="G18" s="12"/>
      <c r="H18" s="10"/>
      <c r="I18" s="9"/>
      <c r="J18" s="9"/>
      <c r="K18" s="9"/>
      <c r="L18" s="9"/>
      <c r="M18" s="9"/>
      <c r="N18" s="9"/>
      <c r="O18" s="9"/>
      <c r="P18" s="9"/>
      <c r="Q18" s="15"/>
      <c r="R18" s="9"/>
      <c r="S18" s="9"/>
      <c r="X18" s="40" t="b">
        <v>0</v>
      </c>
      <c r="Y18" s="40"/>
      <c r="Z18" s="40"/>
    </row>
    <row r="19" spans="2:27" ht="18" customHeight="1" x14ac:dyDescent="0.3">
      <c r="B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X19" s="40" t="b">
        <v>0</v>
      </c>
      <c r="Y19" s="40"/>
      <c r="Z19" s="40"/>
    </row>
    <row r="20" spans="2:27" s="4" customFormat="1" ht="16.5" customHeight="1" x14ac:dyDescent="0.4">
      <c r="B20" s="120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0"/>
      <c r="X20" s="43" t="b">
        <v>1</v>
      </c>
      <c r="Y20" s="43"/>
      <c r="Z20" s="43"/>
    </row>
    <row r="21" spans="2:27" x14ac:dyDescent="0.3">
      <c r="D21" s="11"/>
      <c r="E21" s="11"/>
      <c r="X21" s="40" t="b">
        <v>1</v>
      </c>
      <c r="Y21" s="40"/>
      <c r="Z21" s="40"/>
    </row>
  </sheetData>
  <sheetProtection algorithmName="SHA-512" hashValue="uMKvamppQHbxK+GqTOYCL6T4PrdR+NaX3rN4mcOfn01av7tC5U31dpQgwazPGLIWHxoco4c7qsBpCxgLxVT/ag==" saltValue="kmzIbOWFOOEIXB60ke1ByA==" spinCount="100000" sheet="1" objects="1" scenarios="1" selectLockedCells="1"/>
  <mergeCells count="42">
    <mergeCell ref="U14:U17"/>
    <mergeCell ref="B15:D17"/>
    <mergeCell ref="I15:M17"/>
    <mergeCell ref="B14:D14"/>
    <mergeCell ref="H14:M14"/>
    <mergeCell ref="N14:N15"/>
    <mergeCell ref="O14:O17"/>
    <mergeCell ref="P14:P17"/>
    <mergeCell ref="H15:H16"/>
    <mergeCell ref="E16:G17"/>
    <mergeCell ref="E14:G15"/>
    <mergeCell ref="C11:H11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I9:J9"/>
    <mergeCell ref="C10:H10"/>
    <mergeCell ref="I10:J10"/>
    <mergeCell ref="C8:H8"/>
    <mergeCell ref="I8:J8"/>
    <mergeCell ref="X6:Z6"/>
    <mergeCell ref="C7:H7"/>
    <mergeCell ref="I7:J7"/>
    <mergeCell ref="O7:S7"/>
    <mergeCell ref="B2:S3"/>
    <mergeCell ref="B4:S5"/>
    <mergeCell ref="B6:C6"/>
    <mergeCell ref="E6:F6"/>
    <mergeCell ref="I6:M6"/>
    <mergeCell ref="O6:P6"/>
  </mergeCells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$V$6:$V$12</formula1>
    </dataValidation>
    <dataValidation type="list" allowBlank="1" showInputMessage="1" showErrorMessage="1" sqref="M8:M13">
      <formula1>$AS$4:$AS$13</formula1>
    </dataValidation>
  </dataValidations>
  <pageMargins left="0.51181102362204722" right="0.51181102362204722" top="0.55118110236220474" bottom="0.35433070866141736" header="0.31496062992125984" footer="0.31496062992125984"/>
  <pageSetup paperSize="9" orientation="landscape" r:id="rId1"/>
  <ignoredErrors>
    <ignoredError sqref="L8:L13" unlockedFormula="1"/>
  </ignoredErrors>
  <drawing r:id="rId2"/>
  <legacyDrawing r:id="rId3"/>
  <controls>
    <mc:AlternateContent xmlns:mc="http://schemas.openxmlformats.org/markup-compatibility/2006">
      <mc:Choice Requires="x14">
        <control shapeId="5149" r:id="rId4" name="CheckBox17">
          <controlPr defaultSize="0" autoLine="0" r:id="rId5">
            <anchor moveWithCells="1">
              <from>
                <xdr:col>3</xdr:col>
                <xdr:colOff>251460</xdr:colOff>
                <xdr:row>16</xdr:row>
                <xdr:rowOff>403860</xdr:rowOff>
              </from>
              <to>
                <xdr:col>3</xdr:col>
                <xdr:colOff>419100</xdr:colOff>
                <xdr:row>16</xdr:row>
                <xdr:rowOff>586740</xdr:rowOff>
              </to>
            </anchor>
          </controlPr>
        </control>
      </mc:Choice>
      <mc:Fallback>
        <control shapeId="5149" r:id="rId4" name="CheckBox17"/>
      </mc:Fallback>
    </mc:AlternateContent>
    <mc:AlternateContent xmlns:mc="http://schemas.openxmlformats.org/markup-compatibility/2006">
      <mc:Choice Requires="x14">
        <control shapeId="5148" r:id="rId6" name="CheckBox16">
          <controlPr defaultSize="0" autoLine="0" r:id="rId7">
            <anchor moveWithCells="1">
              <from>
                <xdr:col>3</xdr:col>
                <xdr:colOff>266700</xdr:colOff>
                <xdr:row>16</xdr:row>
                <xdr:rowOff>685800</xdr:rowOff>
              </from>
              <to>
                <xdr:col>3</xdr:col>
                <xdr:colOff>419100</xdr:colOff>
                <xdr:row>16</xdr:row>
                <xdr:rowOff>807720</xdr:rowOff>
              </to>
            </anchor>
          </controlPr>
        </control>
      </mc:Choice>
      <mc:Fallback>
        <control shapeId="5148" r:id="rId6" name="CheckBox16"/>
      </mc:Fallback>
    </mc:AlternateContent>
    <mc:AlternateContent xmlns:mc="http://schemas.openxmlformats.org/markup-compatibility/2006">
      <mc:Choice Requires="x14">
        <control shapeId="5147" r:id="rId8" name="CheckBox15">
          <controlPr defaultSize="0" autoLine="0" linkedCell="X21" r:id="rId9">
            <anchor moveWithCells="1">
              <from>
                <xdr:col>6</xdr:col>
                <xdr:colOff>655320</xdr:colOff>
                <xdr:row>13</xdr:row>
                <xdr:rowOff>259080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8" name="CheckBox15"/>
      </mc:Fallback>
    </mc:AlternateContent>
    <mc:AlternateContent xmlns:mc="http://schemas.openxmlformats.org/markup-compatibility/2006">
      <mc:Choice Requires="x14">
        <control shapeId="5146" r:id="rId10" name="CheckBox14">
          <controlPr defaultSize="0" autoLine="0" linkedCell="X19" r:id="rId11">
            <anchor moveWithCells="1">
              <from>
                <xdr:col>3</xdr:col>
                <xdr:colOff>266700</xdr:colOff>
                <xdr:row>16</xdr:row>
                <xdr:rowOff>876300</xdr:rowOff>
              </from>
              <to>
                <xdr:col>3</xdr:col>
                <xdr:colOff>411480</xdr:colOff>
                <xdr:row>16</xdr:row>
                <xdr:rowOff>1028700</xdr:rowOff>
              </to>
            </anchor>
          </controlPr>
        </control>
      </mc:Choice>
      <mc:Fallback>
        <control shapeId="5146" r:id="rId10" name="CheckBox14"/>
      </mc:Fallback>
    </mc:AlternateContent>
    <mc:AlternateContent xmlns:mc="http://schemas.openxmlformats.org/markup-compatibility/2006">
      <mc:Choice Requires="x14">
        <control shapeId="5135" r:id="rId12" name="CheckBox8">
          <controlPr defaultSize="0" autoLine="0" linkedCell="X14" r:id="rId13">
            <anchor>
              <from>
                <xdr:col>9</xdr:col>
                <xdr:colOff>121920</xdr:colOff>
                <xdr:row>14</xdr:row>
                <xdr:rowOff>0</xdr:rowOff>
              </from>
              <to>
                <xdr:col>9</xdr:col>
                <xdr:colOff>251460</xdr:colOff>
                <xdr:row>14</xdr:row>
                <xdr:rowOff>182880</xdr:rowOff>
              </to>
            </anchor>
          </controlPr>
        </control>
      </mc:Choice>
      <mc:Fallback>
        <control shapeId="5135" r:id="rId12" name="CheckBox8"/>
      </mc:Fallback>
    </mc:AlternateContent>
    <mc:AlternateContent xmlns:mc="http://schemas.openxmlformats.org/markup-compatibility/2006">
      <mc:Choice Requires="x14">
        <control shapeId="5134" r:id="rId14" name="CheckBox7">
          <controlPr autoLine="0" linkedCell="X13" r:id="rId15">
            <anchor moveWithCells="1">
              <from>
                <xdr:col>18</xdr:col>
                <xdr:colOff>114300</xdr:colOff>
                <xdr:row>14</xdr:row>
                <xdr:rowOff>175260</xdr:rowOff>
              </from>
              <to>
                <xdr:col>18</xdr:col>
                <xdr:colOff>304800</xdr:colOff>
                <xdr:row>15</xdr:row>
                <xdr:rowOff>129540</xdr:rowOff>
              </to>
            </anchor>
          </controlPr>
        </control>
      </mc:Choice>
      <mc:Fallback>
        <control shapeId="5134" r:id="rId14" name="CheckBox7"/>
      </mc:Fallback>
    </mc:AlternateContent>
    <mc:AlternateContent xmlns:mc="http://schemas.openxmlformats.org/markup-compatibility/2006">
      <mc:Choice Requires="x14">
        <control shapeId="5133" r:id="rId16" name="CheckBox6">
          <controlPr autoLine="0" linkedCell="X12" r:id="rId17">
            <anchor moveWithCells="1">
              <from>
                <xdr:col>17</xdr:col>
                <xdr:colOff>114300</xdr:colOff>
                <xdr:row>14</xdr:row>
                <xdr:rowOff>182880</xdr:rowOff>
              </from>
              <to>
                <xdr:col>17</xdr:col>
                <xdr:colOff>297180</xdr:colOff>
                <xdr:row>15</xdr:row>
                <xdr:rowOff>76200</xdr:rowOff>
              </to>
            </anchor>
          </controlPr>
        </control>
      </mc:Choice>
      <mc:Fallback>
        <control shapeId="5133" r:id="rId16" name="CheckBox6"/>
      </mc:Fallback>
    </mc:AlternateContent>
    <mc:AlternateContent xmlns:mc="http://schemas.openxmlformats.org/markup-compatibility/2006">
      <mc:Choice Requires="x14">
        <control shapeId="5132" r:id="rId18" name="CheckBox5">
          <controlPr autoLine="0" linkedCell="X11" r:id="rId19">
            <anchor moveWithCells="1">
              <from>
                <xdr:col>16</xdr:col>
                <xdr:colOff>121920</xdr:colOff>
                <xdr:row>14</xdr:row>
                <xdr:rowOff>190500</xdr:rowOff>
              </from>
              <to>
                <xdr:col>16</xdr:col>
                <xdr:colOff>281940</xdr:colOff>
                <xdr:row>15</xdr:row>
                <xdr:rowOff>99060</xdr:rowOff>
              </to>
            </anchor>
          </controlPr>
        </control>
      </mc:Choice>
      <mc:Fallback>
        <control shapeId="5132" r:id="rId18" name="CheckBox5"/>
      </mc:Fallback>
    </mc:AlternateContent>
    <mc:AlternateContent xmlns:mc="http://schemas.openxmlformats.org/markup-compatibility/2006">
      <mc:Choice Requires="x14">
        <control shapeId="5131" r:id="rId20" name="CheckBox4">
          <controlPr autoLine="0" linkedCell="X10" r:id="rId21">
            <anchor moveWithCells="1">
              <from>
                <xdr:col>15</xdr:col>
                <xdr:colOff>175260</xdr:colOff>
                <xdr:row>14</xdr:row>
                <xdr:rowOff>175260</xdr:rowOff>
              </from>
              <to>
                <xdr:col>15</xdr:col>
                <xdr:colOff>327660</xdr:colOff>
                <xdr:row>15</xdr:row>
                <xdr:rowOff>68580</xdr:rowOff>
              </to>
            </anchor>
          </controlPr>
        </control>
      </mc:Choice>
      <mc:Fallback>
        <control shapeId="5131" r:id="rId20" name="CheckBox4"/>
      </mc:Fallback>
    </mc:AlternateContent>
    <mc:AlternateContent xmlns:mc="http://schemas.openxmlformats.org/markup-compatibility/2006">
      <mc:Choice Requires="x14">
        <control shapeId="5130" r:id="rId22" name="CheckBox3">
          <controlPr autoLine="0" linkedCell="X9" r:id="rId23">
            <anchor moveWithCells="1">
              <from>
                <xdr:col>14</xdr:col>
                <xdr:colOff>121920</xdr:colOff>
                <xdr:row>14</xdr:row>
                <xdr:rowOff>175260</xdr:rowOff>
              </from>
              <to>
                <xdr:col>14</xdr:col>
                <xdr:colOff>281940</xdr:colOff>
                <xdr:row>15</xdr:row>
                <xdr:rowOff>137160</xdr:rowOff>
              </to>
            </anchor>
          </controlPr>
        </control>
      </mc:Choice>
      <mc:Fallback>
        <control shapeId="5130" r:id="rId22" name="CheckBox3"/>
      </mc:Fallback>
    </mc:AlternateContent>
    <mc:AlternateContent xmlns:mc="http://schemas.openxmlformats.org/markup-compatibility/2006">
      <mc:Choice Requires="x14">
        <control shapeId="5129" r:id="rId24" name="CheckBox2">
          <controlPr autoLine="0" linkedCell="X8" r:id="rId25">
            <anchor moveWithCells="1">
              <from>
                <xdr:col>9</xdr:col>
                <xdr:colOff>99060</xdr:colOff>
                <xdr:row>15</xdr:row>
                <xdr:rowOff>99060</xdr:rowOff>
              </from>
              <to>
                <xdr:col>9</xdr:col>
                <xdr:colOff>259080</xdr:colOff>
                <xdr:row>16</xdr:row>
                <xdr:rowOff>91440</xdr:rowOff>
              </to>
            </anchor>
          </controlPr>
        </control>
      </mc:Choice>
      <mc:Fallback>
        <control shapeId="5129" r:id="rId24" name="CheckBox2"/>
      </mc:Fallback>
    </mc:AlternateContent>
    <mc:AlternateContent xmlns:mc="http://schemas.openxmlformats.org/markup-compatibility/2006">
      <mc:Choice Requires="x14">
        <control shapeId="5128" r:id="rId26" name="CheckBox1">
          <controlPr autoLine="0" linkedCell="X7" r:id="rId27">
            <anchor moveWithCells="1">
              <from>
                <xdr:col>9</xdr:col>
                <xdr:colOff>121920</xdr:colOff>
                <xdr:row>14</xdr:row>
                <xdr:rowOff>236220</xdr:rowOff>
              </from>
              <to>
                <xdr:col>9</xdr:col>
                <xdr:colOff>251460</xdr:colOff>
                <xdr:row>15</xdr:row>
                <xdr:rowOff>60960</xdr:rowOff>
              </to>
            </anchor>
          </controlPr>
        </control>
      </mc:Choice>
      <mc:Fallback>
        <control shapeId="5128" r:id="rId26" name="CheckBox1"/>
      </mc:Fallback>
    </mc:AlternateContent>
    <mc:AlternateContent xmlns:mc="http://schemas.openxmlformats.org/markup-compatibility/2006">
      <mc:Choice Requires="x14">
        <control shapeId="5141" r:id="rId28" name="CheckBox9">
          <controlPr defaultSize="0" autoLine="0" linkedCell="X15" r:id="rId29">
            <anchor moveWithCells="1">
              <from>
                <xdr:col>3</xdr:col>
                <xdr:colOff>251460</xdr:colOff>
                <xdr:row>14</xdr:row>
                <xdr:rowOff>60960</xdr:rowOff>
              </from>
              <to>
                <xdr:col>3</xdr:col>
                <xdr:colOff>411480</xdr:colOff>
                <xdr:row>14</xdr:row>
                <xdr:rowOff>243840</xdr:rowOff>
              </to>
            </anchor>
          </controlPr>
        </control>
      </mc:Choice>
      <mc:Fallback>
        <control shapeId="5141" r:id="rId28" name="CheckBox9"/>
      </mc:Fallback>
    </mc:AlternateContent>
    <mc:AlternateContent xmlns:mc="http://schemas.openxmlformats.org/markup-compatibility/2006">
      <mc:Choice Requires="x14">
        <control shapeId="5142" r:id="rId30" name="CheckBox10">
          <controlPr defaultSize="0" autoLine="0" linkedCell="X16" r:id="rId31">
            <anchor moveWithCells="1">
              <from>
                <xdr:col>3</xdr:col>
                <xdr:colOff>274320</xdr:colOff>
                <xdr:row>14</xdr:row>
                <xdr:rowOff>289560</xdr:rowOff>
              </from>
              <to>
                <xdr:col>3</xdr:col>
                <xdr:colOff>434340</xdr:colOff>
                <xdr:row>15</xdr:row>
                <xdr:rowOff>114300</xdr:rowOff>
              </to>
            </anchor>
          </controlPr>
        </control>
      </mc:Choice>
      <mc:Fallback>
        <control shapeId="5142" r:id="rId30" name="CheckBox10"/>
      </mc:Fallback>
    </mc:AlternateContent>
    <mc:AlternateContent xmlns:mc="http://schemas.openxmlformats.org/markup-compatibility/2006">
      <mc:Choice Requires="x14">
        <control shapeId="5143" r:id="rId32" name="CheckBox11">
          <controlPr autoLine="0" linkedCell="X17" r:id="rId11">
            <anchor moveWithCells="1">
              <from>
                <xdr:col>3</xdr:col>
                <xdr:colOff>266700</xdr:colOff>
                <xdr:row>15</xdr:row>
                <xdr:rowOff>198120</xdr:rowOff>
              </from>
              <to>
                <xdr:col>3</xdr:col>
                <xdr:colOff>411480</xdr:colOff>
                <xdr:row>16</xdr:row>
                <xdr:rowOff>76200</xdr:rowOff>
              </to>
            </anchor>
          </controlPr>
        </control>
      </mc:Choice>
      <mc:Fallback>
        <control shapeId="5143" r:id="rId32" name="CheckBox11"/>
      </mc:Fallback>
    </mc:AlternateContent>
    <mc:AlternateContent xmlns:mc="http://schemas.openxmlformats.org/markup-compatibility/2006">
      <mc:Choice Requires="x14">
        <control shapeId="5144" r:id="rId33" name="CheckBox12">
          <controlPr autoLine="0" linkedCell="X18" r:id="rId34">
            <anchor moveWithCells="1">
              <from>
                <xdr:col>3</xdr:col>
                <xdr:colOff>251460</xdr:colOff>
                <xdr:row>16</xdr:row>
                <xdr:rowOff>137160</xdr:rowOff>
              </from>
              <to>
                <xdr:col>3</xdr:col>
                <xdr:colOff>419100</xdr:colOff>
                <xdr:row>16</xdr:row>
                <xdr:rowOff>342900</xdr:rowOff>
              </to>
            </anchor>
          </controlPr>
        </control>
      </mc:Choice>
      <mc:Fallback>
        <control shapeId="5144" r:id="rId33" name="CheckBox12"/>
      </mc:Fallback>
    </mc:AlternateContent>
    <mc:AlternateContent xmlns:mc="http://schemas.openxmlformats.org/markup-compatibility/2006">
      <mc:Choice Requires="x14">
        <control shapeId="5145" r:id="rId35" name="CheckBox13">
          <controlPr autoLine="0" linkedCell="X20" r:id="rId36">
            <anchor moveWithCells="1">
              <from>
                <xdr:col>6</xdr:col>
                <xdr:colOff>670560</xdr:colOff>
                <xdr:row>16</xdr:row>
                <xdr:rowOff>182880</xdr:rowOff>
              </from>
              <to>
                <xdr:col>6</xdr:col>
                <xdr:colOff>822960</xdr:colOff>
                <xdr:row>16</xdr:row>
                <xdr:rowOff>327660</xdr:rowOff>
              </to>
            </anchor>
          </controlPr>
        </control>
      </mc:Choice>
      <mc:Fallback>
        <control shapeId="5145" r:id="rId35" name="CheckBox1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B1:AF21"/>
  <sheetViews>
    <sheetView rightToLeft="1" topLeftCell="B1" zoomScaleNormal="100" zoomScalePageLayoutView="84" workbookViewId="0">
      <selection activeCell="Y6" sqref="Y6"/>
    </sheetView>
  </sheetViews>
  <sheetFormatPr defaultColWidth="8.33203125" defaultRowHeight="16.8" x14ac:dyDescent="0.3"/>
  <cols>
    <col min="1" max="1" width="8.33203125" style="1"/>
    <col min="2" max="2" width="3.33203125" style="2" customWidth="1"/>
    <col min="3" max="3" width="10.44140625" style="1" customWidth="1"/>
    <col min="4" max="4" width="8.33203125" style="1" customWidth="1"/>
    <col min="5" max="6" width="3.6640625" style="1" customWidth="1"/>
    <col min="7" max="7" width="15.5546875" style="1" customWidth="1"/>
    <col min="8" max="8" width="13.33203125" style="1" customWidth="1"/>
    <col min="9" max="10" width="2.6640625" style="1" customWidth="1"/>
    <col min="11" max="11" width="6.88671875" style="1" customWidth="1"/>
    <col min="12" max="12" width="19.44140625" style="1" customWidth="1"/>
    <col min="13" max="17" width="5.6640625" style="1" customWidth="1"/>
    <col min="18" max="19" width="8.33203125" style="1" customWidth="1"/>
    <col min="20" max="20" width="10.33203125" style="1" hidden="1" customWidth="1"/>
    <col min="21" max="21" width="14.6640625" style="1" hidden="1" customWidth="1"/>
    <col min="22" max="23" width="8.33203125" style="1"/>
    <col min="24" max="24" width="5.6640625" style="1" customWidth="1"/>
    <col min="25" max="25" width="7.33203125" style="4" customWidth="1"/>
    <col min="26" max="31" width="4.6640625" style="1" customWidth="1"/>
    <col min="32" max="16384" width="8.33203125" style="1"/>
  </cols>
  <sheetData>
    <row r="1" spans="2:32" ht="12" customHeight="1" x14ac:dyDescent="0.3"/>
    <row r="2" spans="2:32" ht="15.75" customHeight="1" x14ac:dyDescent="0.3">
      <c r="B2" s="98" t="s">
        <v>19</v>
      </c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8"/>
      <c r="AF2" s="2"/>
    </row>
    <row r="3" spans="2:32" ht="13.5" customHeight="1" x14ac:dyDescent="0.3"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1"/>
    </row>
    <row r="4" spans="2:32" ht="17.25" customHeight="1" x14ac:dyDescent="0.3">
      <c r="B4" s="104" t="s">
        <v>9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6"/>
    </row>
    <row r="5" spans="2:32" ht="9" customHeight="1" x14ac:dyDescent="0.3">
      <c r="B5" s="107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9"/>
    </row>
    <row r="6" spans="2:32" s="3" customFormat="1" ht="32.25" customHeight="1" x14ac:dyDescent="0.3">
      <c r="B6" s="90" t="s">
        <v>13</v>
      </c>
      <c r="C6" s="91"/>
      <c r="D6" s="18" t="s">
        <v>25</v>
      </c>
      <c r="E6" s="90" t="s">
        <v>4</v>
      </c>
      <c r="F6" s="91"/>
      <c r="G6" s="30" t="s">
        <v>21</v>
      </c>
      <c r="H6" s="30"/>
      <c r="I6" s="110" t="s">
        <v>6</v>
      </c>
      <c r="J6" s="111"/>
      <c r="K6" s="111"/>
      <c r="L6" s="19" t="s">
        <v>32</v>
      </c>
      <c r="M6" s="112" t="s">
        <v>5</v>
      </c>
      <c r="N6" s="113"/>
      <c r="O6" s="113"/>
      <c r="P6" s="13">
        <v>101</v>
      </c>
      <c r="Q6" s="14">
        <v>1401</v>
      </c>
      <c r="T6" s="17"/>
      <c r="U6" s="17"/>
      <c r="V6" s="1"/>
      <c r="W6" s="1"/>
      <c r="X6" s="1"/>
      <c r="Y6" s="4"/>
    </row>
    <row r="7" spans="2:32" s="3" customFormat="1" ht="29.25" customHeight="1" x14ac:dyDescent="0.3">
      <c r="B7" s="16" t="s">
        <v>0</v>
      </c>
      <c r="C7" s="90" t="s">
        <v>3</v>
      </c>
      <c r="D7" s="91"/>
      <c r="E7" s="91"/>
      <c r="F7" s="91"/>
      <c r="G7" s="91"/>
      <c r="H7" s="143"/>
      <c r="I7" s="144" t="s">
        <v>12</v>
      </c>
      <c r="J7" s="145"/>
      <c r="K7" s="7" t="s">
        <v>2</v>
      </c>
      <c r="L7" s="25" t="s">
        <v>1</v>
      </c>
      <c r="M7" s="142" t="s">
        <v>14</v>
      </c>
      <c r="N7" s="96"/>
      <c r="O7" s="96"/>
      <c r="P7" s="96"/>
      <c r="Q7" s="97"/>
      <c r="T7" s="17" t="s">
        <v>24</v>
      </c>
      <c r="U7" s="17" t="s">
        <v>20</v>
      </c>
      <c r="V7" s="1" t="b">
        <v>1</v>
      </c>
      <c r="W7" s="1"/>
      <c r="X7" s="1"/>
      <c r="Y7" s="26">
        <v>1</v>
      </c>
      <c r="Z7" s="17">
        <v>2</v>
      </c>
      <c r="AA7" s="17">
        <v>3</v>
      </c>
      <c r="AB7" s="17">
        <v>4</v>
      </c>
      <c r="AC7" s="17">
        <v>5</v>
      </c>
      <c r="AD7" s="17">
        <v>6</v>
      </c>
      <c r="AE7" s="17">
        <v>7</v>
      </c>
    </row>
    <row r="8" spans="2:32" ht="36" customHeight="1" x14ac:dyDescent="0.3">
      <c r="B8" s="5">
        <v>1</v>
      </c>
      <c r="C8" s="50"/>
      <c r="D8" s="51"/>
      <c r="E8" s="51"/>
      <c r="F8" s="51"/>
      <c r="G8" s="51"/>
      <c r="H8" s="52"/>
      <c r="I8" s="82"/>
      <c r="J8" s="83"/>
      <c r="K8" s="8"/>
      <c r="L8" s="20"/>
      <c r="M8" s="84" t="s">
        <v>16</v>
      </c>
      <c r="N8" s="84" t="s">
        <v>15</v>
      </c>
      <c r="O8" s="84" t="s">
        <v>29</v>
      </c>
      <c r="P8" s="84" t="s">
        <v>17</v>
      </c>
      <c r="Q8" s="84" t="s">
        <v>18</v>
      </c>
      <c r="T8" s="2" t="s">
        <v>25</v>
      </c>
      <c r="U8" s="2" t="s">
        <v>21</v>
      </c>
      <c r="Y8" s="22" t="b">
        <v>0</v>
      </c>
      <c r="Z8" s="22" t="b">
        <v>1</v>
      </c>
      <c r="AA8" s="22" t="b">
        <v>1</v>
      </c>
      <c r="AB8" s="22" t="b">
        <v>0</v>
      </c>
      <c r="AC8" s="22" t="b">
        <v>0</v>
      </c>
      <c r="AD8" s="22" t="b">
        <v>0</v>
      </c>
      <c r="AE8" s="22" t="b">
        <v>0</v>
      </c>
    </row>
    <row r="9" spans="2:32" ht="33.75" customHeight="1" x14ac:dyDescent="0.3">
      <c r="B9" s="5">
        <v>2</v>
      </c>
      <c r="C9" s="50"/>
      <c r="D9" s="51"/>
      <c r="E9" s="51"/>
      <c r="F9" s="51"/>
      <c r="G9" s="51"/>
      <c r="H9" s="52"/>
      <c r="I9" s="82"/>
      <c r="J9" s="83"/>
      <c r="K9" s="8"/>
      <c r="L9" s="20"/>
      <c r="M9" s="85"/>
      <c r="N9" s="85"/>
      <c r="O9" s="85"/>
      <c r="P9" s="85"/>
      <c r="Q9" s="85"/>
      <c r="T9" s="2" t="s">
        <v>26</v>
      </c>
      <c r="U9" s="2" t="s">
        <v>22</v>
      </c>
      <c r="V9" s="49"/>
      <c r="W9" s="49"/>
      <c r="X9" s="49"/>
      <c r="Y9" s="28" t="str">
        <f>IF(AE8=TRUE,"تکمیل","درجریان")</f>
        <v>درجریان</v>
      </c>
      <c r="Z9" s="22"/>
    </row>
    <row r="10" spans="2:32" ht="33.75" customHeight="1" x14ac:dyDescent="0.3">
      <c r="B10" s="5">
        <v>3</v>
      </c>
      <c r="C10" s="50"/>
      <c r="D10" s="51"/>
      <c r="E10" s="51"/>
      <c r="F10" s="51"/>
      <c r="G10" s="51"/>
      <c r="H10" s="52"/>
      <c r="I10" s="82"/>
      <c r="J10" s="83"/>
      <c r="K10" s="8"/>
      <c r="L10" s="20"/>
      <c r="M10" s="85"/>
      <c r="N10" s="85"/>
      <c r="O10" s="85"/>
      <c r="P10" s="85"/>
      <c r="Q10" s="85"/>
      <c r="T10" s="2"/>
      <c r="U10" s="2" t="s">
        <v>23</v>
      </c>
      <c r="V10" s="49"/>
      <c r="W10" s="49"/>
      <c r="X10" s="49"/>
      <c r="Z10" s="22"/>
    </row>
    <row r="11" spans="2:32" ht="33.75" customHeight="1" x14ac:dyDescent="0.3">
      <c r="B11" s="5">
        <v>4</v>
      </c>
      <c r="C11" s="50"/>
      <c r="D11" s="51"/>
      <c r="E11" s="51"/>
      <c r="F11" s="51"/>
      <c r="G11" s="51"/>
      <c r="H11" s="52"/>
      <c r="I11" s="82"/>
      <c r="J11" s="83"/>
      <c r="K11" s="8"/>
      <c r="L11" s="20"/>
      <c r="M11" s="85"/>
      <c r="N11" s="85"/>
      <c r="O11" s="85"/>
      <c r="P11" s="85"/>
      <c r="Q11" s="85"/>
      <c r="T11" s="2"/>
      <c r="U11" s="2"/>
      <c r="V11" s="49"/>
      <c r="W11" s="49"/>
      <c r="X11" s="49"/>
      <c r="Z11" s="22"/>
    </row>
    <row r="12" spans="2:32" ht="33.75" customHeight="1" x14ac:dyDescent="0.3">
      <c r="B12" s="5">
        <v>5</v>
      </c>
      <c r="C12" s="50"/>
      <c r="D12" s="51"/>
      <c r="E12" s="51"/>
      <c r="F12" s="51"/>
      <c r="G12" s="51"/>
      <c r="H12" s="52"/>
      <c r="I12" s="82"/>
      <c r="J12" s="83"/>
      <c r="K12" s="8"/>
      <c r="L12" s="20"/>
      <c r="M12" s="85"/>
      <c r="N12" s="85"/>
      <c r="O12" s="85"/>
      <c r="P12" s="85"/>
      <c r="Q12" s="85"/>
      <c r="T12" s="2"/>
      <c r="U12" s="2"/>
      <c r="V12" s="49"/>
      <c r="W12" s="49"/>
      <c r="X12" s="49"/>
      <c r="Z12" s="22"/>
    </row>
    <row r="13" spans="2:32" ht="27.9" customHeight="1" x14ac:dyDescent="0.3">
      <c r="B13" s="5">
        <v>6</v>
      </c>
      <c r="C13" s="50"/>
      <c r="D13" s="51"/>
      <c r="E13" s="51"/>
      <c r="F13" s="51"/>
      <c r="G13" s="51"/>
      <c r="H13" s="52"/>
      <c r="I13" s="82"/>
      <c r="J13" s="83"/>
      <c r="K13" s="8"/>
      <c r="L13" s="20"/>
      <c r="M13" s="86"/>
      <c r="N13" s="86"/>
      <c r="O13" s="86"/>
      <c r="P13" s="86"/>
      <c r="Q13" s="86"/>
      <c r="T13" s="2"/>
      <c r="U13" s="2"/>
      <c r="V13" s="49"/>
      <c r="W13" s="49"/>
      <c r="X13" s="49"/>
      <c r="Z13" s="22"/>
    </row>
    <row r="14" spans="2:32" s="6" customFormat="1" ht="21" customHeight="1" x14ac:dyDescent="0.3">
      <c r="B14" s="68" t="s">
        <v>8</v>
      </c>
      <c r="C14" s="69"/>
      <c r="D14" s="70"/>
      <c r="E14" s="71" t="s">
        <v>7</v>
      </c>
      <c r="F14" s="72"/>
      <c r="G14" s="73"/>
      <c r="H14" s="74" t="s">
        <v>10</v>
      </c>
      <c r="I14" s="75"/>
      <c r="J14" s="75"/>
      <c r="K14" s="76"/>
      <c r="L14" s="77" t="s">
        <v>11</v>
      </c>
      <c r="M14" s="54"/>
      <c r="N14" s="79"/>
      <c r="O14" s="54"/>
      <c r="P14" s="79"/>
      <c r="Q14" s="58"/>
      <c r="S14" s="61"/>
      <c r="Y14" s="21"/>
    </row>
    <row r="15" spans="2:32" ht="25.5" customHeight="1" x14ac:dyDescent="0.3">
      <c r="B15" s="62"/>
      <c r="C15" s="63"/>
      <c r="D15" s="64"/>
      <c r="E15" s="62"/>
      <c r="F15" s="63"/>
      <c r="G15" s="64"/>
      <c r="H15" s="24" t="s">
        <v>27</v>
      </c>
      <c r="I15" s="63"/>
      <c r="J15" s="63"/>
      <c r="K15" s="64"/>
      <c r="L15" s="78"/>
      <c r="M15" s="55"/>
      <c r="N15" s="80"/>
      <c r="O15" s="55"/>
      <c r="P15" s="80"/>
      <c r="Q15" s="59"/>
      <c r="S15" s="61"/>
    </row>
    <row r="16" spans="2:32" ht="19.5" customHeight="1" x14ac:dyDescent="0.3">
      <c r="B16" s="62"/>
      <c r="C16" s="63"/>
      <c r="D16" s="64"/>
      <c r="E16" s="62"/>
      <c r="F16" s="63"/>
      <c r="G16" s="64"/>
      <c r="H16" s="24" t="s">
        <v>28</v>
      </c>
      <c r="I16" s="63"/>
      <c r="J16" s="63"/>
      <c r="K16" s="64"/>
      <c r="L16" s="27" t="s">
        <v>30</v>
      </c>
      <c r="M16" s="55"/>
      <c r="N16" s="80"/>
      <c r="O16" s="55"/>
      <c r="P16" s="80"/>
      <c r="Q16" s="59"/>
      <c r="S16" s="61"/>
    </row>
    <row r="17" spans="2:25" s="3" customFormat="1" ht="19.5" customHeight="1" x14ac:dyDescent="0.3">
      <c r="B17" s="65"/>
      <c r="C17" s="66"/>
      <c r="D17" s="67"/>
      <c r="E17" s="65"/>
      <c r="F17" s="66"/>
      <c r="G17" s="67"/>
      <c r="H17" s="23"/>
      <c r="I17" s="66"/>
      <c r="J17" s="66"/>
      <c r="K17" s="67"/>
      <c r="L17" s="29" t="s">
        <v>31</v>
      </c>
      <c r="M17" s="56"/>
      <c r="N17" s="81"/>
      <c r="O17" s="56"/>
      <c r="P17" s="81"/>
      <c r="Q17" s="60"/>
      <c r="S17" s="61"/>
      <c r="Y17" s="4"/>
    </row>
    <row r="18" spans="2:25" ht="15" customHeight="1" x14ac:dyDescent="0.5">
      <c r="B18" s="9"/>
      <c r="C18" s="9"/>
      <c r="D18" s="9"/>
      <c r="E18" s="10"/>
      <c r="F18" s="12"/>
      <c r="G18" s="12"/>
      <c r="H18" s="9"/>
      <c r="I18" s="9"/>
      <c r="J18" s="9"/>
      <c r="K18" s="9"/>
      <c r="L18" s="9"/>
      <c r="M18" s="9"/>
      <c r="N18" s="9"/>
      <c r="O18" s="15"/>
      <c r="P18" s="9"/>
      <c r="Q18" s="9"/>
    </row>
    <row r="19" spans="2:25" ht="11.25" customHeight="1" x14ac:dyDescent="0.3">
      <c r="B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2:25" s="4" customFormat="1" ht="16.5" customHeight="1" x14ac:dyDescent="0.3"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</row>
    <row r="21" spans="2:25" x14ac:dyDescent="0.3">
      <c r="D21" s="11"/>
      <c r="E21" s="11"/>
    </row>
  </sheetData>
  <mergeCells count="45">
    <mergeCell ref="P14:P17"/>
    <mergeCell ref="E6:F6"/>
    <mergeCell ref="I12:J12"/>
    <mergeCell ref="I13:J13"/>
    <mergeCell ref="I6:K6"/>
    <mergeCell ref="I7:J7"/>
    <mergeCell ref="M6:O6"/>
    <mergeCell ref="M8:M13"/>
    <mergeCell ref="N8:N13"/>
    <mergeCell ref="O8:O13"/>
    <mergeCell ref="P8:P13"/>
    <mergeCell ref="C10:H10"/>
    <mergeCell ref="I8:J8"/>
    <mergeCell ref="I9:J9"/>
    <mergeCell ref="I10:J10"/>
    <mergeCell ref="I11:J11"/>
    <mergeCell ref="B2:Q3"/>
    <mergeCell ref="M7:Q7"/>
    <mergeCell ref="B20:Q20"/>
    <mergeCell ref="M14:M17"/>
    <mergeCell ref="N14:N17"/>
    <mergeCell ref="O14:O17"/>
    <mergeCell ref="B6:C6"/>
    <mergeCell ref="B14:D14"/>
    <mergeCell ref="B15:D17"/>
    <mergeCell ref="C11:H11"/>
    <mergeCell ref="C12:H12"/>
    <mergeCell ref="C13:H13"/>
    <mergeCell ref="B4:Q5"/>
    <mergeCell ref="C7:H7"/>
    <mergeCell ref="C8:H8"/>
    <mergeCell ref="C9:H9"/>
    <mergeCell ref="E15:G17"/>
    <mergeCell ref="E14:G14"/>
    <mergeCell ref="H14:K14"/>
    <mergeCell ref="I15:K17"/>
    <mergeCell ref="L14:L15"/>
    <mergeCell ref="V13:X13"/>
    <mergeCell ref="S14:S17"/>
    <mergeCell ref="Q14:Q17"/>
    <mergeCell ref="V9:X9"/>
    <mergeCell ref="V10:X10"/>
    <mergeCell ref="V11:X11"/>
    <mergeCell ref="V12:X12"/>
    <mergeCell ref="Q8:Q13"/>
  </mergeCells>
  <conditionalFormatting sqref="D4">
    <cfRule type="expression" priority="1">
      <formula>$AD$8</formula>
    </cfRule>
  </conditionalFormatting>
  <dataValidations count="2">
    <dataValidation type="list" allowBlank="1" showInputMessage="1" showErrorMessage="1" sqref="D6">
      <formula1>$T$6:$T$12</formula1>
    </dataValidation>
    <dataValidation type="list" allowBlank="1" showInputMessage="1" showErrorMessage="1" sqref="G6:H6">
      <formula1>$U$6:$U$13</formula1>
    </dataValidation>
  </dataValidations>
  <pageMargins left="0.51181102362204722" right="0.51181102362204722" top="0.55118110236220474" bottom="0.35433070866141736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163" r:id="rId4" name="CheckBox1">
          <controlPr defaultSize="0" autoLine="0" linkedCell="V7" r:id="rId5">
            <anchor moveWithCells="1">
              <from>
                <xdr:col>21</xdr:col>
                <xdr:colOff>228600</xdr:colOff>
                <xdr:row>10</xdr:row>
                <xdr:rowOff>137160</xdr:rowOff>
              </from>
              <to>
                <xdr:col>23</xdr:col>
                <xdr:colOff>289560</xdr:colOff>
                <xdr:row>10</xdr:row>
                <xdr:rowOff>289560</xdr:rowOff>
              </to>
            </anchor>
          </controlPr>
        </control>
      </mc:Choice>
      <mc:Fallback>
        <control shapeId="2163" r:id="rId4" name="CheckBox1"/>
      </mc:Fallback>
    </mc:AlternateContent>
    <mc:AlternateContent xmlns:mc="http://schemas.openxmlformats.org/markup-compatibility/2006">
      <mc:Choice Requires="x14">
        <control shapeId="2068" r:id="rId6" name="Check Box 20">
          <controlPr defaultSize="0" autoFill="0" autoLine="0" autoPict="0">
            <anchor moveWithCells="1">
              <from>
                <xdr:col>7</xdr:col>
                <xdr:colOff>449580</xdr:colOff>
                <xdr:row>14</xdr:row>
                <xdr:rowOff>68580</xdr:rowOff>
              </from>
              <to>
                <xdr:col>7</xdr:col>
                <xdr:colOff>678180</xdr:colOff>
                <xdr:row>14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9" r:id="rId7" name="Check Box 21">
          <controlPr defaultSize="0" autoFill="0" autoLine="0" autoPict="0">
            <anchor moveWithCells="1">
              <from>
                <xdr:col>7</xdr:col>
                <xdr:colOff>441960</xdr:colOff>
                <xdr:row>15</xdr:row>
                <xdr:rowOff>7620</xdr:rowOff>
              </from>
              <to>
                <xdr:col>7</xdr:col>
                <xdr:colOff>670560</xdr:colOff>
                <xdr:row>15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8" name="Check Box 73">
          <controlPr defaultSize="0" autoFill="0" autoLine="0" autoPict="0">
            <anchor moveWithCells="1">
              <from>
                <xdr:col>12</xdr:col>
                <xdr:colOff>76200</xdr:colOff>
                <xdr:row>13</xdr:row>
                <xdr:rowOff>259080</xdr:rowOff>
              </from>
              <to>
                <xdr:col>12</xdr:col>
                <xdr:colOff>327660</xdr:colOff>
                <xdr:row>14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9" name="Check Box 74">
          <controlPr defaultSize="0" autoFill="0" autoLine="0" autoPict="0">
            <anchor moveWithCells="1">
              <from>
                <xdr:col>13</xdr:col>
                <xdr:colOff>83820</xdr:colOff>
                <xdr:row>13</xdr:row>
                <xdr:rowOff>259080</xdr:rowOff>
              </from>
              <to>
                <xdr:col>13</xdr:col>
                <xdr:colOff>335280</xdr:colOff>
                <xdr:row>14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10" name="Check Box 75">
          <controlPr defaultSize="0" autoFill="0" autoLine="0" autoPict="0">
            <anchor moveWithCells="1">
              <from>
                <xdr:col>14</xdr:col>
                <xdr:colOff>83820</xdr:colOff>
                <xdr:row>13</xdr:row>
                <xdr:rowOff>251460</xdr:rowOff>
              </from>
              <to>
                <xdr:col>14</xdr:col>
                <xdr:colOff>335280</xdr:colOff>
                <xdr:row>14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11" name="Check Box 76">
          <controlPr defaultSize="0" autoFill="0" autoLine="0" autoPict="0">
            <anchor moveWithCells="1">
              <from>
                <xdr:col>15</xdr:col>
                <xdr:colOff>76200</xdr:colOff>
                <xdr:row>13</xdr:row>
                <xdr:rowOff>251460</xdr:rowOff>
              </from>
              <to>
                <xdr:col>15</xdr:col>
                <xdr:colOff>327660</xdr:colOff>
                <xdr:row>14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12" name="Check Box 77">
          <controlPr defaultSize="0" autoFill="0" autoLine="0" autoPict="0">
            <anchor moveWithCells="1">
              <from>
                <xdr:col>16</xdr:col>
                <xdr:colOff>68580</xdr:colOff>
                <xdr:row>13</xdr:row>
                <xdr:rowOff>236220</xdr:rowOff>
              </from>
              <to>
                <xdr:col>16</xdr:col>
                <xdr:colOff>312420</xdr:colOff>
                <xdr:row>14</xdr:row>
                <xdr:rowOff>266700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003</vt:lpstr>
      <vt:lpstr>REM-40109-777-272</vt:lpstr>
      <vt:lpstr>1</vt:lpstr>
      <vt:lpstr>'003'!Print_Area</vt:lpstr>
      <vt:lpstr>'1'!Print_Area</vt:lpstr>
      <vt:lpstr>'REM-40109-777-272'!Print_Area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Soltankarimi</cp:lastModifiedBy>
  <cp:lastPrinted>2022-07-31T08:58:25Z</cp:lastPrinted>
  <dcterms:created xsi:type="dcterms:W3CDTF">2017-10-03T08:00:51Z</dcterms:created>
  <dcterms:modified xsi:type="dcterms:W3CDTF">2022-12-24T10:31:54Z</dcterms:modified>
</cp:coreProperties>
</file>