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6" windowHeight="11160" tabRatio="586"/>
  </bookViews>
  <sheets>
    <sheet name="REM-40205-777-381" sheetId="6" r:id="rId1"/>
  </sheets>
  <definedNames>
    <definedName name="_xlnm.Print_Area" localSheetId="0">'REM-40205-777-381'!$B$2:$S$20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14" i="6" l="1"/>
  <c r="U13" i="6"/>
  <c r="L13" i="6"/>
  <c r="U12" i="6"/>
  <c r="L12" i="6"/>
  <c r="U11" i="6"/>
  <c r="L11" i="6"/>
  <c r="U10" i="6"/>
  <c r="L10" i="6"/>
  <c r="AA9" i="6"/>
  <c r="U9" i="6"/>
  <c r="L9" i="6"/>
  <c r="U8" i="6"/>
  <c r="L8" i="6"/>
  <c r="H6" i="6"/>
  <c r="W4" i="6"/>
</calcChain>
</file>

<file path=xl/sharedStrings.xml><?xml version="1.0" encoding="utf-8"?>
<sst xmlns="http://schemas.openxmlformats.org/spreadsheetml/2006/main" count="70" uniqueCount="63">
  <si>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</si>
  <si>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</si>
  <si>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</si>
  <si>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</si>
  <si>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</si>
  <si>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</si>
  <si>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</si>
  <si>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</si>
  <si>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</si>
  <si>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</si>
  <si>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</si>
  <si>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</si>
  <si>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</si>
  <si>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</si>
  <si>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</si>
  <si>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</si>
  <si>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</si>
  <si>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</si>
  <si>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</si>
  <si>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</si>
  <si>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</si>
  <si>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</si>
  <si>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</si>
  <si>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</si>
  <si>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</si>
  <si>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</si>
  <si>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</si>
  <si>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</si>
  <si>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</si>
  <si>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</si>
  <si>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</si>
  <si>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</si>
  <si>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</si>
  <si>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</si>
  <si>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</si>
  <si>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</si>
  <si>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</si>
  <si>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</si>
  <si>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</si>
  <si>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</si>
  <si>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</si>
  <si>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</si>
  <si>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</si>
  <si>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</si>
  <si>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</si>
  <si>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</si>
  <si>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</si>
  <si>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XXXX/XX/XX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</si>
  <si>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</si>
  <si>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</si>
  <si>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</si>
  <si>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</si>
  <si>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</si>
  <si>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</si>
  <si>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</si>
  <si>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</si>
  <si>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</si>
  <si>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</si>
  <si>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</si>
  <si>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آزمایشگاه</t>
  </si>
  <si>
    <t>1402/05/29</t>
  </si>
  <si>
    <t>قرص کلرباقیمانده  DPD  (بصورت تبلت )</t>
  </si>
  <si>
    <t>آمونیوم کلراید (نشادر) ایرانی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</si>
</sst>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textRotation="90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4" fillId="0" borderId="5" xfId="0" applyFont="1" applyBorder="1" applyAlignment="1">
      <alignment horizontal="left" vertical="center"/>
    </xf>
    <xf numFmtId="0" fontId="5" fillId="0" borderId="0" xfId="0" applyFont="1" applyAlignment="1">
      <alignment horizontal="right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0" fontId="6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35119724" y="190500"/>
          <a:ext cx="523876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</xdr:colOff>
          <xdr:row>14</xdr:row>
          <xdr:rowOff>236220</xdr:rowOff>
        </xdr:from>
        <xdr:to>
          <xdr:col>9</xdr:col>
          <xdr:colOff>259080</xdr:colOff>
          <xdr:row>15</xdr:row>
          <xdr:rowOff>68580</xdr:rowOff>
        </xdr:to>
        <xdr:sp macro="" textlink="">
          <xdr:nvSpPr>
            <xdr:cNvPr id="8193" name="CheckBox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15</xdr:row>
          <xdr:rowOff>83820</xdr:rowOff>
        </xdr:from>
        <xdr:to>
          <xdr:col>9</xdr:col>
          <xdr:colOff>259080</xdr:colOff>
          <xdr:row>16</xdr:row>
          <xdr:rowOff>76200</xdr:rowOff>
        </xdr:to>
        <xdr:sp macro="" textlink="">
          <xdr:nvSpPr>
            <xdr:cNvPr id="8194" name="CheckBox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</xdr:colOff>
          <xdr:row>14</xdr:row>
          <xdr:rowOff>190500</xdr:rowOff>
        </xdr:from>
        <xdr:to>
          <xdr:col>14</xdr:col>
          <xdr:colOff>289560</xdr:colOff>
          <xdr:row>15</xdr:row>
          <xdr:rowOff>152400</xdr:rowOff>
        </xdr:to>
        <xdr:sp macro="" textlink="">
          <xdr:nvSpPr>
            <xdr:cNvPr id="8195" name="CheckBox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14</xdr:row>
          <xdr:rowOff>213360</xdr:rowOff>
        </xdr:from>
        <xdr:to>
          <xdr:col>15</xdr:col>
          <xdr:colOff>327660</xdr:colOff>
          <xdr:row>15</xdr:row>
          <xdr:rowOff>106680</xdr:rowOff>
        </xdr:to>
        <xdr:sp macro="" textlink="">
          <xdr:nvSpPr>
            <xdr:cNvPr id="8196" name="CheckBox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121920</xdr:colOff>
          <xdr:row>14</xdr:row>
          <xdr:rowOff>213360</xdr:rowOff>
        </xdr:from>
        <xdr:to>
          <xdr:col>16</xdr:col>
          <xdr:colOff>289560</xdr:colOff>
          <xdr:row>15</xdr:row>
          <xdr:rowOff>114300</xdr:rowOff>
        </xdr:to>
        <xdr:sp macro="" textlink="">
          <xdr:nvSpPr>
            <xdr:cNvPr id="8197" name="CheckBox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198120</xdr:rowOff>
        </xdr:from>
        <xdr:to>
          <xdr:col>17</xdr:col>
          <xdr:colOff>297180</xdr:colOff>
          <xdr:row>15</xdr:row>
          <xdr:rowOff>99060</xdr:rowOff>
        </xdr:to>
        <xdr:sp macro="" textlink="">
          <xdr:nvSpPr>
            <xdr:cNvPr id="8198" name="CheckBox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14</xdr:row>
          <xdr:rowOff>175260</xdr:rowOff>
        </xdr:from>
        <xdr:to>
          <xdr:col>18</xdr:col>
          <xdr:colOff>251460</xdr:colOff>
          <xdr:row>15</xdr:row>
          <xdr:rowOff>121920</xdr:rowOff>
        </xdr:to>
        <xdr:sp macro="" textlink="">
          <xdr:nvSpPr>
            <xdr:cNvPr id="8199" name="CheckBox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121920</xdr:colOff>
          <xdr:row>14</xdr:row>
          <xdr:rowOff>0</xdr:rowOff>
        </xdr:from>
        <xdr:to>
          <xdr:col>9</xdr:col>
          <xdr:colOff>259080</xdr:colOff>
          <xdr:row>14</xdr:row>
          <xdr:rowOff>182880</xdr:rowOff>
        </xdr:to>
        <xdr:sp macro="" textlink="">
          <xdr:nvSpPr>
            <xdr:cNvPr id="8200" name="CheckBox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14</xdr:row>
          <xdr:rowOff>60960</xdr:rowOff>
        </xdr:from>
        <xdr:to>
          <xdr:col>3</xdr:col>
          <xdr:colOff>411480</xdr:colOff>
          <xdr:row>14</xdr:row>
          <xdr:rowOff>236220</xdr:rowOff>
        </xdr:to>
        <xdr:sp macro="" textlink="">
          <xdr:nvSpPr>
            <xdr:cNvPr id="8201" name="CheckBox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14</xdr:row>
          <xdr:rowOff>289560</xdr:rowOff>
        </xdr:from>
        <xdr:to>
          <xdr:col>3</xdr:col>
          <xdr:colOff>411480</xdr:colOff>
          <xdr:row>15</xdr:row>
          <xdr:rowOff>114300</xdr:rowOff>
        </xdr:to>
        <xdr:sp macro="" textlink="">
          <xdr:nvSpPr>
            <xdr:cNvPr id="8202" name="CheckBox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198120</xdr:rowOff>
        </xdr:from>
        <xdr:to>
          <xdr:col>3</xdr:col>
          <xdr:colOff>411480</xdr:colOff>
          <xdr:row>16</xdr:row>
          <xdr:rowOff>76200</xdr:rowOff>
        </xdr:to>
        <xdr:sp macro="" textlink="">
          <xdr:nvSpPr>
            <xdr:cNvPr id="8203" name="CheckBox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236220</xdr:colOff>
          <xdr:row>16</xdr:row>
          <xdr:rowOff>137160</xdr:rowOff>
        </xdr:from>
        <xdr:to>
          <xdr:col>3</xdr:col>
          <xdr:colOff>411480</xdr:colOff>
          <xdr:row>16</xdr:row>
          <xdr:rowOff>342900</xdr:rowOff>
        </xdr:to>
        <xdr:sp macro="" textlink="">
          <xdr:nvSpPr>
            <xdr:cNvPr id="8204" name="CheckBox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1112520</xdr:rowOff>
        </xdr:from>
        <xdr:to>
          <xdr:col>3</xdr:col>
          <xdr:colOff>411480</xdr:colOff>
          <xdr:row>16</xdr:row>
          <xdr:rowOff>1264920</xdr:rowOff>
        </xdr:to>
        <xdr:sp macro="" textlink="">
          <xdr:nvSpPr>
            <xdr:cNvPr id="8205" name="CheckBox14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655320</xdr:colOff>
          <xdr:row>13</xdr:row>
          <xdr:rowOff>259080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8206" name="CheckBox15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</xdr:colOff>
          <xdr:row>16</xdr:row>
          <xdr:rowOff>685800</xdr:rowOff>
        </xdr:from>
        <xdr:to>
          <xdr:col>3</xdr:col>
          <xdr:colOff>411480</xdr:colOff>
          <xdr:row>16</xdr:row>
          <xdr:rowOff>807720</xdr:rowOff>
        </xdr:to>
        <xdr:sp macro="" textlink="">
          <xdr:nvSpPr>
            <xdr:cNvPr id="8207" name="CheckBox16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236220</xdr:colOff>
          <xdr:row>16</xdr:row>
          <xdr:rowOff>403860</xdr:rowOff>
        </xdr:from>
        <xdr:to>
          <xdr:col>3</xdr:col>
          <xdr:colOff>411480</xdr:colOff>
          <xdr:row>16</xdr:row>
          <xdr:rowOff>579120</xdr:rowOff>
        </xdr:to>
        <xdr:sp macro="" textlink="">
          <xdr:nvSpPr>
            <xdr:cNvPr id="8208" name="CheckBox17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16</xdr:row>
          <xdr:rowOff>899160</xdr:rowOff>
        </xdr:from>
        <xdr:to>
          <xdr:col>3</xdr:col>
          <xdr:colOff>411480</xdr:colOff>
          <xdr:row>16</xdr:row>
          <xdr:rowOff>1089660</xdr:rowOff>
        </xdr:to>
        <xdr:sp macro="" textlink="">
          <xdr:nvSpPr>
            <xdr:cNvPr id="8209" name="CheckBox18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655320</xdr:colOff>
          <xdr:row>16</xdr:row>
          <xdr:rowOff>144780</xdr:rowOff>
        </xdr:from>
        <xdr:to>
          <xdr:col>6</xdr:col>
          <xdr:colOff>822960</xdr:colOff>
          <xdr:row>16</xdr:row>
          <xdr:rowOff>342900</xdr:rowOff>
        </xdr:to>
        <xdr:sp macro="" textlink="">
          <xdr:nvSpPr>
            <xdr:cNvPr id="8210" name="CheckBox19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AW22"/>
  <sheetViews>
    <sheetView showGridLines="0" showRowColHeaders="0" rightToLeft="1" tabSelected="1" topLeftCell="A7" zoomScaleNormal="100" zoomScalePageLayoutView="84" workbookViewId="0">
      <selection activeCell="M10" sqref="M10"/>
    </sheetView>
  </sheetViews>
  <sheetFormatPr defaultColWidth="8.33203125" defaultRowHeight="16.8" x14ac:dyDescent="0.3"/>
  <cols>
    <col min="1" max="1" width="4.6640625" style="1" customWidth="1"/>
    <col min="2" max="2" width="3.33203125" style="2" customWidth="1"/>
    <col min="3" max="3" width="10.44140625" style="1" customWidth="1"/>
    <col min="4" max="4" width="8.33203125" style="1" customWidth="1"/>
    <col min="5" max="6" width="3.6640625" style="1" customWidth="1"/>
    <col min="7" max="7" width="15.5546875" style="1" customWidth="1"/>
    <col min="8" max="8" width="16.88671875" style="1" customWidth="1"/>
    <col min="9" max="9" width="2.6640625" style="1" customWidth="1"/>
    <col min="10" max="10" width="5.6640625" style="1" customWidth="1"/>
    <col min="11" max="11" width="7.6640625" style="1" customWidth="1"/>
    <col min="12" max="12" width="14.109375" style="1" customWidth="1"/>
    <col min="13" max="13" width="7.88671875" style="1" customWidth="1"/>
    <col min="14" max="14" width="26.5546875" style="1" customWidth="1"/>
    <col min="15" max="15" width="6.109375" style="1" customWidth="1"/>
    <col min="16" max="16" width="6.88671875" style="1" customWidth="1"/>
    <col min="17" max="19" width="5.6640625" style="1" customWidth="1"/>
    <col min="20" max="20" width="7.88671875" style="1" hidden="1" customWidth="1"/>
    <col min="21" max="21" width="8.33203125" style="1" hidden="1" customWidth="1"/>
    <col min="22" max="22" width="10.33203125" style="1" hidden="1" customWidth="1"/>
    <col min="23" max="23" width="14.6640625" style="1" hidden="1" customWidth="1"/>
    <col min="24" max="25" width="8.33203125" style="1" hidden="1" customWidth="1"/>
    <col min="26" max="26" width="5.6640625" style="1" hidden="1" customWidth="1"/>
    <col min="27" max="27" width="7.33203125" style="4" hidden="1" customWidth="1"/>
    <col min="28" max="33" width="4.6640625" style="1" hidden="1" customWidth="1"/>
    <col min="34" max="47" width="8.33203125" style="1" hidden="1" customWidth="1"/>
    <col min="48" max="58" width="8.33203125" style="1" customWidth="1"/>
    <col min="59" max="59" width="7.88671875" style="1" customWidth="1"/>
    <col min="60" max="61" width="8.33203125" style="1" customWidth="1"/>
    <col min="62" max="16384" width="8.33203125" style="1"/>
  </cols>
  <sheetData>
    <row r="1" spans="2:49" ht="12" customHeight="1" x14ac:dyDescent="0.25"/>
    <row r="2" spans="2:49" ht="15.75" customHeight="1" x14ac:dyDescent="0.3">
      <c r="B2" s="97" t="s">
        <v>17</v>
      </c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9"/>
      <c r="AS2" s="12" t="s">
        <v>36</v>
      </c>
    </row>
    <row r="3" spans="2:49" ht="13.5" customHeight="1" x14ac:dyDescent="0.3">
      <c r="B3" s="100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2"/>
      <c r="AS3" s="12" t="s">
        <v>37</v>
      </c>
    </row>
    <row r="4" spans="2:49" ht="17.25" customHeight="1" x14ac:dyDescent="0.3">
      <c r="B4" s="103" t="s">
        <v>7</v>
      </c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5"/>
      <c r="W4" s="1" t="str">
        <f>S6&amp;R6&amp;Q6</f>
        <v>4025381</v>
      </c>
      <c r="AS4" s="2" t="s">
        <v>38</v>
      </c>
    </row>
    <row r="5" spans="2:49" ht="9" customHeight="1" x14ac:dyDescent="0.3">
      <c r="B5" s="106"/>
      <c r="C5" s="107"/>
      <c r="D5" s="107"/>
      <c r="E5" s="107"/>
      <c r="F5" s="107"/>
      <c r="G5" s="104"/>
      <c r="H5" s="104"/>
      <c r="I5" s="104"/>
      <c r="J5" s="104"/>
      <c r="K5" s="104"/>
      <c r="L5" s="104"/>
      <c r="M5" s="107"/>
      <c r="N5" s="107"/>
      <c r="O5" s="107"/>
      <c r="P5" s="107"/>
      <c r="Q5" s="107"/>
      <c r="R5" s="107"/>
      <c r="S5" s="108"/>
      <c r="AS5" s="2" t="s">
        <v>39</v>
      </c>
    </row>
    <row r="6" spans="2:49" s="3" customFormat="1" ht="32.25" customHeight="1" x14ac:dyDescent="0.3">
      <c r="B6" s="86" t="s">
        <v>11</v>
      </c>
      <c r="C6" s="87"/>
      <c r="D6" s="31"/>
      <c r="E6" s="87" t="s">
        <v>4</v>
      </c>
      <c r="F6" s="87"/>
      <c r="G6" s="21"/>
      <c r="H6" s="36">
        <f>IF(G6=W7,770,IF(G6=W8,880,IF(G6=W9,777,IF(G6=W10,667,IF(G6=W11,666,IF(G6=W12,110,IF(G6=W13,210,)))))))</f>
        <v>0</v>
      </c>
      <c r="I6" s="109" t="s">
        <v>5</v>
      </c>
      <c r="J6" s="110"/>
      <c r="K6" s="110"/>
      <c r="L6" s="110"/>
      <c r="M6" s="110"/>
      <c r="N6" s="29" t="s">
        <v>60</v>
      </c>
      <c r="O6" s="111" t="s">
        <v>27</v>
      </c>
      <c r="P6" s="112"/>
      <c r="Q6" s="22">
        <v>381</v>
      </c>
      <c r="R6" s="23">
        <v>5</v>
      </c>
      <c r="S6" s="24">
        <v>402</v>
      </c>
      <c r="V6" s="12"/>
      <c r="W6" s="12"/>
      <c r="X6" s="85"/>
      <c r="Y6" s="85"/>
      <c r="Z6" s="85"/>
      <c r="AA6" s="4"/>
      <c r="AS6" s="2" t="s">
        <v>40</v>
      </c>
    </row>
    <row r="7" spans="2:49" s="3" customFormat="1" ht="29.25" customHeight="1" x14ac:dyDescent="0.3">
      <c r="B7" s="40" t="s">
        <v>0</v>
      </c>
      <c r="C7" s="86" t="s">
        <v>3</v>
      </c>
      <c r="D7" s="87"/>
      <c r="E7" s="87"/>
      <c r="F7" s="87"/>
      <c r="G7" s="88"/>
      <c r="H7" s="89"/>
      <c r="I7" s="90" t="s">
        <v>10</v>
      </c>
      <c r="J7" s="91"/>
      <c r="K7" s="37" t="s">
        <v>45</v>
      </c>
      <c r="L7" s="37" t="s">
        <v>46</v>
      </c>
      <c r="M7" s="7" t="s">
        <v>2</v>
      </c>
      <c r="N7" s="15" t="s">
        <v>1</v>
      </c>
      <c r="O7" s="92" t="s">
        <v>12</v>
      </c>
      <c r="P7" s="92"/>
      <c r="Q7" s="92"/>
      <c r="R7" s="92"/>
      <c r="S7" s="93"/>
      <c r="V7" s="12" t="s">
        <v>21</v>
      </c>
      <c r="W7" s="12" t="s">
        <v>18</v>
      </c>
      <c r="X7" s="25" t="b">
        <v>0</v>
      </c>
      <c r="Y7" s="25"/>
      <c r="Z7" s="25"/>
      <c r="AA7" s="16">
        <v>1</v>
      </c>
      <c r="AB7" s="12">
        <v>2</v>
      </c>
      <c r="AC7" s="12">
        <v>3</v>
      </c>
      <c r="AD7" s="12">
        <v>4</v>
      </c>
      <c r="AE7" s="12">
        <v>5</v>
      </c>
      <c r="AF7" s="12">
        <v>6</v>
      </c>
      <c r="AG7" s="12">
        <v>7</v>
      </c>
      <c r="AH7" s="3">
        <v>1</v>
      </c>
      <c r="AS7" s="2" t="s">
        <v>41</v>
      </c>
    </row>
    <row r="8" spans="2:49" ht="36" customHeight="1" x14ac:dyDescent="0.3">
      <c r="B8" s="5">
        <v>1</v>
      </c>
      <c r="C8" s="80" t="s">
        <v>61</v>
      </c>
      <c r="D8" s="81"/>
      <c r="E8" s="81"/>
      <c r="F8" s="81"/>
      <c r="G8" s="81"/>
      <c r="H8" s="82"/>
      <c r="I8" s="78">
        <v>50</v>
      </c>
      <c r="J8" s="79"/>
      <c r="K8" s="41">
        <v>0</v>
      </c>
      <c r="L8" s="34" t="str">
        <f>IF(K8-I8&gt;=0,(I8)&amp;"دریافت از انبار  ",I8-K8&amp;" برای خرید  ")</f>
        <v xml:space="preserve">50 برای خرید  </v>
      </c>
      <c r="M8" s="33" t="s">
        <v>37</v>
      </c>
      <c r="N8" s="20" t="s">
        <v>59</v>
      </c>
      <c r="O8" s="94" t="s">
        <v>14</v>
      </c>
      <c r="P8" s="94" t="s">
        <v>13</v>
      </c>
      <c r="Q8" s="94" t="s">
        <v>24</v>
      </c>
      <c r="R8" s="94" t="s">
        <v>15</v>
      </c>
      <c r="S8" s="94" t="s">
        <v>16</v>
      </c>
      <c r="U8" s="35">
        <f>I8</f>
        <v>50</v>
      </c>
      <c r="V8" s="2" t="s">
        <v>22</v>
      </c>
      <c r="W8" s="2" t="s">
        <v>19</v>
      </c>
      <c r="X8" s="25" t="b">
        <v>0</v>
      </c>
      <c r="Y8" s="25"/>
      <c r="Z8" s="25"/>
      <c r="AA8" s="14" t="b">
        <v>0</v>
      </c>
      <c r="AB8" s="14" t="b">
        <v>0</v>
      </c>
      <c r="AC8" s="14" t="b">
        <v>0</v>
      </c>
      <c r="AD8" s="14" t="b">
        <v>0</v>
      </c>
      <c r="AE8" s="14" t="b">
        <v>0</v>
      </c>
      <c r="AF8" s="14" t="b">
        <v>0</v>
      </c>
      <c r="AG8" s="14" t="b">
        <v>0</v>
      </c>
      <c r="AH8" s="1">
        <v>2</v>
      </c>
      <c r="AS8" s="2" t="s">
        <v>55</v>
      </c>
    </row>
    <row r="9" spans="2:49" ht="33.75" customHeight="1" x14ac:dyDescent="0.3">
      <c r="B9" s="5">
        <v>2</v>
      </c>
      <c r="C9" s="80" t="s">
        <v>62</v>
      </c>
      <c r="D9" s="81"/>
      <c r="E9" s="81"/>
      <c r="F9" s="81"/>
      <c r="G9" s="81"/>
      <c r="H9" s="82"/>
      <c r="I9" s="78">
        <v>5</v>
      </c>
      <c r="J9" s="79"/>
      <c r="K9" s="41">
        <v>0</v>
      </c>
      <c r="L9" s="34" t="str">
        <f t="shared" ref="L9:L13" si="0">IF(K9-I9&gt;=0,(I9)&amp;"دریافت از انبار  ",I9-K9&amp;" برای خرید  ")</f>
        <v xml:space="preserve">5 برای خرید  </v>
      </c>
      <c r="M9" s="33" t="s">
        <v>41</v>
      </c>
      <c r="N9" s="20" t="s">
        <v>59</v>
      </c>
      <c r="O9" s="95"/>
      <c r="P9" s="95"/>
      <c r="Q9" s="95"/>
      <c r="R9" s="95"/>
      <c r="S9" s="95"/>
      <c r="U9" s="35">
        <f t="shared" ref="U9:U13" si="1">I9</f>
        <v>5</v>
      </c>
      <c r="V9" s="2" t="s">
        <v>23</v>
      </c>
      <c r="W9" s="2" t="s">
        <v>30</v>
      </c>
      <c r="X9" s="25" t="b">
        <v>0</v>
      </c>
      <c r="Y9" s="25"/>
      <c r="Z9" s="25"/>
      <c r="AA9" s="39" t="str">
        <f>IF(AG8=TRUE,"تکمیل","درجریان")</f>
        <v>درجریان</v>
      </c>
      <c r="AB9" s="14"/>
      <c r="AH9" s="1">
        <v>3</v>
      </c>
      <c r="AP9" s="1" t="b">
        <v>1</v>
      </c>
      <c r="AS9" s="2" t="s">
        <v>42</v>
      </c>
    </row>
    <row r="10" spans="2:49" ht="33.75" customHeight="1" x14ac:dyDescent="0.3">
      <c r="B10" s="5">
        <v>3</v>
      </c>
      <c r="C10" s="80"/>
      <c r="D10" s="81"/>
      <c r="E10" s="81"/>
      <c r="F10" s="81"/>
      <c r="G10" s="81"/>
      <c r="H10" s="82"/>
      <c r="I10" s="78"/>
      <c r="J10" s="79"/>
      <c r="K10" s="41">
        <v>0</v>
      </c>
      <c r="L10" s="34" t="str">
        <f t="shared" si="0"/>
        <v xml:space="preserve">دریافت از انبار  </v>
      </c>
      <c r="M10" s="33" t="s">
        <v>41</v>
      </c>
      <c r="N10" s="20"/>
      <c r="O10" s="95"/>
      <c r="P10" s="95"/>
      <c r="Q10" s="95"/>
      <c r="R10" s="95"/>
      <c r="S10" s="95"/>
      <c r="U10" s="35">
        <f t="shared" si="1"/>
        <v>0</v>
      </c>
      <c r="V10" s="2" t="s">
        <v>26</v>
      </c>
      <c r="W10" s="2" t="s">
        <v>20</v>
      </c>
      <c r="X10" s="25" t="b">
        <v>0</v>
      </c>
      <c r="Y10" s="25"/>
      <c r="Z10" s="25"/>
      <c r="AB10" s="14"/>
      <c r="AH10" s="1">
        <v>4</v>
      </c>
      <c r="AS10" s="2" t="s">
        <v>56</v>
      </c>
      <c r="AW10" s="32"/>
    </row>
    <row r="11" spans="2:49" ht="33.75" customHeight="1" x14ac:dyDescent="0.3">
      <c r="B11" s="5">
        <v>4</v>
      </c>
      <c r="C11" s="80"/>
      <c r="D11" s="81"/>
      <c r="E11" s="81"/>
      <c r="F11" s="81"/>
      <c r="G11" s="81"/>
      <c r="H11" s="82"/>
      <c r="I11" s="78"/>
      <c r="J11" s="79"/>
      <c r="K11" s="41">
        <v>0</v>
      </c>
      <c r="L11" s="34" t="str">
        <f t="shared" si="0"/>
        <v xml:space="preserve">دریافت از انبار  </v>
      </c>
      <c r="M11" s="33" t="s">
        <v>41</v>
      </c>
      <c r="N11" s="20"/>
      <c r="O11" s="95"/>
      <c r="P11" s="95"/>
      <c r="Q11" s="95"/>
      <c r="R11" s="95"/>
      <c r="S11" s="95"/>
      <c r="U11" s="35">
        <f t="shared" si="1"/>
        <v>0</v>
      </c>
      <c r="V11" s="2" t="s">
        <v>48</v>
      </c>
      <c r="W11" s="2" t="s">
        <v>31</v>
      </c>
      <c r="X11" s="25" t="b">
        <v>0</v>
      </c>
      <c r="Y11" s="25"/>
      <c r="Z11" s="25"/>
      <c r="AB11" s="14"/>
      <c r="AH11" s="1">
        <v>5</v>
      </c>
      <c r="AS11" s="2" t="s">
        <v>43</v>
      </c>
    </row>
    <row r="12" spans="2:49" ht="33.75" customHeight="1" x14ac:dyDescent="0.3">
      <c r="B12" s="5">
        <v>5</v>
      </c>
      <c r="C12" s="80"/>
      <c r="D12" s="81"/>
      <c r="E12" s="81"/>
      <c r="F12" s="81"/>
      <c r="G12" s="81"/>
      <c r="H12" s="82"/>
      <c r="I12" s="78"/>
      <c r="J12" s="79"/>
      <c r="K12" s="41">
        <v>0</v>
      </c>
      <c r="L12" s="34" t="str">
        <f t="shared" si="0"/>
        <v xml:space="preserve">دریافت از انبار  </v>
      </c>
      <c r="M12" s="33" t="s">
        <v>40</v>
      </c>
      <c r="N12" s="20"/>
      <c r="O12" s="95"/>
      <c r="P12" s="95"/>
      <c r="Q12" s="95"/>
      <c r="R12" s="95"/>
      <c r="S12" s="95"/>
      <c r="U12" s="35">
        <f t="shared" si="1"/>
        <v>0</v>
      </c>
      <c r="V12" s="2" t="s">
        <v>49</v>
      </c>
      <c r="W12" s="2" t="s">
        <v>28</v>
      </c>
      <c r="X12" s="25" t="b">
        <v>0</v>
      </c>
      <c r="Y12" s="25"/>
      <c r="Z12" s="25"/>
      <c r="AB12" s="14"/>
      <c r="AH12" s="1">
        <v>6</v>
      </c>
      <c r="AR12" s="1" t="s">
        <v>34</v>
      </c>
      <c r="AS12" s="12" t="s">
        <v>44</v>
      </c>
    </row>
    <row r="13" spans="2:49" ht="27.9" customHeight="1" x14ac:dyDescent="0.3">
      <c r="B13" s="19">
        <v>6</v>
      </c>
      <c r="C13" s="83"/>
      <c r="D13" s="84"/>
      <c r="E13" s="84"/>
      <c r="F13" s="84"/>
      <c r="G13" s="84"/>
      <c r="H13" s="82"/>
      <c r="I13" s="78"/>
      <c r="J13" s="79"/>
      <c r="K13" s="41">
        <v>0</v>
      </c>
      <c r="L13" s="34" t="str">
        <f t="shared" si="0"/>
        <v xml:space="preserve">دریافت از انبار  </v>
      </c>
      <c r="M13" s="33"/>
      <c r="N13" s="20"/>
      <c r="O13" s="96"/>
      <c r="P13" s="96"/>
      <c r="Q13" s="96"/>
      <c r="R13" s="96"/>
      <c r="S13" s="96"/>
      <c r="U13" s="35">
        <f t="shared" si="1"/>
        <v>0</v>
      </c>
      <c r="V13" s="2" t="s">
        <v>50</v>
      </c>
      <c r="W13" s="2" t="s">
        <v>29</v>
      </c>
      <c r="X13" s="25" t="b">
        <v>0</v>
      </c>
      <c r="Y13" s="25"/>
      <c r="Z13" s="25"/>
      <c r="AB13" s="14"/>
      <c r="AH13" s="1">
        <v>7</v>
      </c>
      <c r="AS13" s="38" t="s">
        <v>51</v>
      </c>
      <c r="AU13" s="1" t="s">
        <v>34</v>
      </c>
    </row>
    <row r="14" spans="2:49" s="6" customFormat="1" ht="21" customHeight="1" x14ac:dyDescent="0.3">
      <c r="B14" s="54" t="s">
        <v>6</v>
      </c>
      <c r="C14" s="55"/>
      <c r="D14" s="55"/>
      <c r="E14" s="56" t="s">
        <v>35</v>
      </c>
      <c r="F14" s="57"/>
      <c r="G14" s="58"/>
      <c r="H14" s="62" t="s">
        <v>8</v>
      </c>
      <c r="I14" s="62"/>
      <c r="J14" s="62"/>
      <c r="K14" s="62"/>
      <c r="L14" s="62"/>
      <c r="M14" s="63"/>
      <c r="N14" s="64" t="s">
        <v>9</v>
      </c>
      <c r="O14" s="47"/>
      <c r="P14" s="44"/>
      <c r="Q14" s="47"/>
      <c r="R14" s="50"/>
      <c r="S14" s="51"/>
      <c r="U14" s="66"/>
      <c r="W14" s="3" t="str">
        <f>B4</f>
        <v xml:space="preserve">درخواست کالا و مواد </v>
      </c>
      <c r="X14" s="27" t="b">
        <v>0</v>
      </c>
      <c r="Y14" s="26"/>
      <c r="Z14" s="26"/>
      <c r="AA14" s="13"/>
      <c r="AS14" s="2" t="s">
        <v>52</v>
      </c>
    </row>
    <row r="15" spans="2:49" ht="27" customHeight="1" x14ac:dyDescent="0.3">
      <c r="B15" s="67" t="s">
        <v>57</v>
      </c>
      <c r="C15" s="68"/>
      <c r="D15" s="69"/>
      <c r="E15" s="59"/>
      <c r="F15" s="60"/>
      <c r="G15" s="61"/>
      <c r="H15" s="68" t="s">
        <v>32</v>
      </c>
      <c r="I15" s="74"/>
      <c r="J15" s="74"/>
      <c r="K15" s="74"/>
      <c r="L15" s="74"/>
      <c r="M15" s="75"/>
      <c r="N15" s="65"/>
      <c r="O15" s="48"/>
      <c r="P15" s="45"/>
      <c r="Q15" s="48"/>
      <c r="R15" s="50"/>
      <c r="S15" s="52"/>
      <c r="U15" s="66"/>
      <c r="X15" s="25" t="b">
        <v>0</v>
      </c>
      <c r="Y15" s="25"/>
      <c r="Z15" s="25"/>
      <c r="AS15" s="2" t="s">
        <v>53</v>
      </c>
    </row>
    <row r="16" spans="2:49" ht="21.9" customHeight="1" x14ac:dyDescent="0.3">
      <c r="B16" s="70"/>
      <c r="C16" s="68"/>
      <c r="D16" s="69"/>
      <c r="E16" s="56" t="s">
        <v>58</v>
      </c>
      <c r="F16" s="57"/>
      <c r="G16" s="58"/>
      <c r="H16" s="68"/>
      <c r="I16" s="74"/>
      <c r="J16" s="74"/>
      <c r="K16" s="74"/>
      <c r="L16" s="74"/>
      <c r="M16" s="75"/>
      <c r="N16" s="17" t="s">
        <v>25</v>
      </c>
      <c r="O16" s="48"/>
      <c r="P16" s="45"/>
      <c r="Q16" s="48"/>
      <c r="R16" s="50"/>
      <c r="S16" s="52"/>
      <c r="U16" s="66"/>
      <c r="X16" s="25" t="b">
        <v>0</v>
      </c>
      <c r="Y16" s="25"/>
      <c r="Z16" s="25"/>
    </row>
    <row r="17" spans="2:27" s="3" customFormat="1" ht="112.5" customHeight="1" x14ac:dyDescent="0.3">
      <c r="B17" s="71"/>
      <c r="C17" s="72"/>
      <c r="D17" s="73"/>
      <c r="E17" s="59"/>
      <c r="F17" s="60"/>
      <c r="G17" s="61"/>
      <c r="H17" s="18" t="s">
        <v>33</v>
      </c>
      <c r="I17" s="76"/>
      <c r="J17" s="76"/>
      <c r="K17" s="76"/>
      <c r="L17" s="76"/>
      <c r="M17" s="77"/>
      <c r="N17" s="30" t="s">
        <v>47</v>
      </c>
      <c r="O17" s="49"/>
      <c r="P17" s="46"/>
      <c r="Q17" s="49"/>
      <c r="R17" s="50"/>
      <c r="S17" s="53"/>
      <c r="U17" s="66"/>
      <c r="X17" s="27" t="b">
        <v>0</v>
      </c>
      <c r="Y17" s="27"/>
      <c r="Z17" s="27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42" t="s">
        <v>54</v>
      </c>
      <c r="Q18" s="42"/>
      <c r="R18" s="42"/>
      <c r="S18" s="42"/>
      <c r="X18" s="25" t="b">
        <v>1</v>
      </c>
      <c r="Y18" s="25"/>
      <c r="Z18" s="25"/>
    </row>
    <row r="19" spans="2:27" ht="18" customHeight="1" x14ac:dyDescent="0.25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5" t="b">
        <v>0</v>
      </c>
      <c r="Y19" s="25"/>
      <c r="Z19" s="25"/>
    </row>
    <row r="20" spans="2:27" s="4" customFormat="1" ht="16.5" customHeight="1" x14ac:dyDescent="0.35"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X20" s="28" t="b">
        <v>0</v>
      </c>
      <c r="Y20" s="28"/>
      <c r="Z20" s="28"/>
    </row>
    <row r="21" spans="2:27" x14ac:dyDescent="0.3">
      <c r="D21" s="10"/>
      <c r="E21" s="10"/>
      <c r="X21" s="25" t="b">
        <v>1</v>
      </c>
      <c r="Y21" s="25"/>
      <c r="Z21" s="25"/>
    </row>
    <row r="22" spans="2:27" x14ac:dyDescent="0.3">
      <c r="X22" s="25" t="b">
        <v>1</v>
      </c>
    </row>
  </sheetData>
  <sheetProtection algorithmName="SHA-512" hashValue="ns5Db/0umoT3p2iPQbN1mGgrO9bXXYQJ1a/ITmc60ViJiF2DxXFTenbmrZAul0OnH/7091VGFRlt8BGLN3maIA==" saltValue="QSIorkCJutwAfqurr+BgSQ==" spinCount="100000" sheet="1" objects="1" scenarios="1" selectLockedCells="1"/>
  <mergeCells count="43">
    <mergeCell ref="B2:S3"/>
    <mergeCell ref="B4:S5"/>
    <mergeCell ref="B6:C6"/>
    <mergeCell ref="E6:F6"/>
    <mergeCell ref="I6:M6"/>
    <mergeCell ref="O6:P6"/>
    <mergeCell ref="X6:Z6"/>
    <mergeCell ref="C7:H7"/>
    <mergeCell ref="I7:J7"/>
    <mergeCell ref="O7:S7"/>
    <mergeCell ref="C8:H8"/>
    <mergeCell ref="I8:J8"/>
    <mergeCell ref="O8:O13"/>
    <mergeCell ref="P8:P13"/>
    <mergeCell ref="Q8:Q13"/>
    <mergeCell ref="R8:R13"/>
    <mergeCell ref="S8:S13"/>
    <mergeCell ref="C9:H9"/>
    <mergeCell ref="I9:J9"/>
    <mergeCell ref="C10:H10"/>
    <mergeCell ref="I10:J10"/>
    <mergeCell ref="C11:H11"/>
    <mergeCell ref="I11:J11"/>
    <mergeCell ref="C12:H12"/>
    <mergeCell ref="I12:J12"/>
    <mergeCell ref="C13:H13"/>
    <mergeCell ref="I13:J13"/>
    <mergeCell ref="U14:U17"/>
    <mergeCell ref="B15:D17"/>
    <mergeCell ref="H15:H16"/>
    <mergeCell ref="I15:M17"/>
    <mergeCell ref="E16:G17"/>
    <mergeCell ref="O14:O17"/>
    <mergeCell ref="P18:S18"/>
    <mergeCell ref="B20:S20"/>
    <mergeCell ref="P14:P17"/>
    <mergeCell ref="Q14:Q17"/>
    <mergeCell ref="R14:R17"/>
    <mergeCell ref="S14:S17"/>
    <mergeCell ref="B14:D14"/>
    <mergeCell ref="E14:G15"/>
    <mergeCell ref="H14:M14"/>
    <mergeCell ref="N14:N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$V$6:$V$13</formula1>
    </dataValidation>
    <dataValidation type="list" allowBlank="1" showInputMessage="1" showErrorMessage="1" sqref="M8:M13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8193" r:id="rId4" name="CheckBox1">
          <controlPr autoLine="0" linkedCell="X7" r:id="rId5">
            <anchor moveWithCells="1">
              <from>
                <xdr:col>9</xdr:col>
                <xdr:colOff>121920</xdr:colOff>
                <xdr:row>14</xdr:row>
                <xdr:rowOff>236220</xdr:rowOff>
              </from>
              <to>
                <xdr:col>9</xdr:col>
                <xdr:colOff>251460</xdr:colOff>
                <xdr:row>15</xdr:row>
                <xdr:rowOff>60960</xdr:rowOff>
              </to>
            </anchor>
          </controlPr>
        </control>
      </mc:Choice>
      <mc:Fallback>
        <control shapeId="8193" r:id="rId4" name="CheckBox1"/>
      </mc:Fallback>
    </mc:AlternateContent>
    <mc:AlternateContent xmlns:mc="http://schemas.openxmlformats.org/markup-compatibility/2006">
      <mc:Choice Requires="x14">
        <control shapeId="8194" r:id="rId6" name="CheckBox2">
          <controlPr autoLine="0" linkedCell="X8" r:id="rId7">
            <anchor moveWithCells="1">
              <from>
                <xdr:col>9</xdr:col>
                <xdr:colOff>99060</xdr:colOff>
                <xdr:row>15</xdr:row>
                <xdr:rowOff>83820</xdr:rowOff>
              </from>
              <to>
                <xdr:col>9</xdr:col>
                <xdr:colOff>259080</xdr:colOff>
                <xdr:row>16</xdr:row>
                <xdr:rowOff>76200</xdr:rowOff>
              </to>
            </anchor>
          </controlPr>
        </control>
      </mc:Choice>
      <mc:Fallback>
        <control shapeId="8194" r:id="rId6" name="CheckBox2"/>
      </mc:Fallback>
    </mc:AlternateContent>
    <mc:AlternateContent xmlns:mc="http://schemas.openxmlformats.org/markup-compatibility/2006">
      <mc:Choice Requires="x14">
        <control shapeId="8195" r:id="rId8" name="CheckBox3">
          <controlPr autoLine="0" linkedCell="X9" r:id="rId9">
            <anchor moveWithCells="1">
              <from>
                <xdr:col>14</xdr:col>
                <xdr:colOff>121920</xdr:colOff>
                <xdr:row>14</xdr:row>
                <xdr:rowOff>190500</xdr:rowOff>
              </from>
              <to>
                <xdr:col>14</xdr:col>
                <xdr:colOff>281940</xdr:colOff>
                <xdr:row>15</xdr:row>
                <xdr:rowOff>152400</xdr:rowOff>
              </to>
            </anchor>
          </controlPr>
        </control>
      </mc:Choice>
      <mc:Fallback>
        <control shapeId="8195" r:id="rId8" name="CheckBox3"/>
      </mc:Fallback>
    </mc:AlternateContent>
    <mc:AlternateContent xmlns:mc="http://schemas.openxmlformats.org/markup-compatibility/2006">
      <mc:Choice Requires="x14">
        <control shapeId="8196" r:id="rId10" name="CheckBox4">
          <controlPr autoLine="0" linkedCell="X10" r:id="rId11">
            <anchor moveWithCells="1">
              <from>
                <xdr:col>15</xdr:col>
                <xdr:colOff>175260</xdr:colOff>
                <xdr:row>14</xdr:row>
                <xdr:rowOff>213360</xdr:rowOff>
              </from>
              <to>
                <xdr:col>15</xdr:col>
                <xdr:colOff>327660</xdr:colOff>
                <xdr:row>15</xdr:row>
                <xdr:rowOff>106680</xdr:rowOff>
              </to>
            </anchor>
          </controlPr>
        </control>
      </mc:Choice>
      <mc:Fallback>
        <control shapeId="8196" r:id="rId10" name="CheckBox4"/>
      </mc:Fallback>
    </mc:AlternateContent>
    <mc:AlternateContent xmlns:mc="http://schemas.openxmlformats.org/markup-compatibility/2006">
      <mc:Choice Requires="x14">
        <control shapeId="8197" r:id="rId12" name="CheckBox5">
          <controlPr autoLine="0" linkedCell="X11" r:id="rId13">
            <anchor moveWithCells="1">
              <from>
                <xdr:col>16</xdr:col>
                <xdr:colOff>121920</xdr:colOff>
                <xdr:row>14</xdr:row>
                <xdr:rowOff>213360</xdr:rowOff>
              </from>
              <to>
                <xdr:col>16</xdr:col>
                <xdr:colOff>281940</xdr:colOff>
                <xdr:row>15</xdr:row>
                <xdr:rowOff>121920</xdr:rowOff>
              </to>
            </anchor>
          </controlPr>
        </control>
      </mc:Choice>
      <mc:Fallback>
        <control shapeId="8197" r:id="rId12" name="CheckBox5"/>
      </mc:Fallback>
    </mc:AlternateContent>
    <mc:AlternateContent xmlns:mc="http://schemas.openxmlformats.org/markup-compatibility/2006">
      <mc:Choice Requires="x14">
        <control shapeId="8198" r:id="rId14" name="CheckBox6">
          <controlPr autoLine="0" linkedCell="X12" r:id="rId15">
            <anchor moveWithCells="1">
              <from>
                <xdr:col>17</xdr:col>
                <xdr:colOff>114300</xdr:colOff>
                <xdr:row>14</xdr:row>
                <xdr:rowOff>198120</xdr:rowOff>
              </from>
              <to>
                <xdr:col>17</xdr:col>
                <xdr:colOff>297180</xdr:colOff>
                <xdr:row>15</xdr:row>
                <xdr:rowOff>91440</xdr:rowOff>
              </to>
            </anchor>
          </controlPr>
        </control>
      </mc:Choice>
      <mc:Fallback>
        <control shapeId="8198" r:id="rId14" name="CheckBox6"/>
      </mc:Fallback>
    </mc:AlternateContent>
    <mc:AlternateContent xmlns:mc="http://schemas.openxmlformats.org/markup-compatibility/2006">
      <mc:Choice Requires="x14">
        <control shapeId="8199" r:id="rId16" name="CheckBox7">
          <controlPr autoLine="0" linkedCell="X13" r:id="rId17">
            <anchor moveWithCells="1">
              <from>
                <xdr:col>18</xdr:col>
                <xdr:colOff>68580</xdr:colOff>
                <xdr:row>14</xdr:row>
                <xdr:rowOff>175260</xdr:rowOff>
              </from>
              <to>
                <xdr:col>18</xdr:col>
                <xdr:colOff>251460</xdr:colOff>
                <xdr:row>15</xdr:row>
                <xdr:rowOff>129540</xdr:rowOff>
              </to>
            </anchor>
          </controlPr>
        </control>
      </mc:Choice>
      <mc:Fallback>
        <control shapeId="8199" r:id="rId16" name="CheckBox7"/>
      </mc:Fallback>
    </mc:AlternateContent>
    <mc:AlternateContent xmlns:mc="http://schemas.openxmlformats.org/markup-compatibility/2006">
      <mc:Choice Requires="x14">
        <control shapeId="8200" r:id="rId18" name="CheckBox8">
          <controlPr defaultSize="0" autoLine="0" linkedCell="X14" r:id="rId19">
            <anchor>
              <from>
                <xdr:col>9</xdr:col>
                <xdr:colOff>121920</xdr:colOff>
                <xdr:row>14</xdr:row>
                <xdr:rowOff>0</xdr:rowOff>
              </from>
              <to>
                <xdr:col>9</xdr:col>
                <xdr:colOff>251460</xdr:colOff>
                <xdr:row>14</xdr:row>
                <xdr:rowOff>182880</xdr:rowOff>
              </to>
            </anchor>
          </controlPr>
        </control>
      </mc:Choice>
      <mc:Fallback>
        <control shapeId="8200" r:id="rId18" name="CheckBox8"/>
      </mc:Fallback>
    </mc:AlternateContent>
    <mc:AlternateContent xmlns:mc="http://schemas.openxmlformats.org/markup-compatibility/2006">
      <mc:Choice Requires="x14">
        <control shapeId="8201" r:id="rId20" name="CheckBox9">
          <controlPr defaultSize="0" autoLine="0" linkedCell="X15" r:id="rId21">
            <anchor moveWithCells="1">
              <from>
                <xdr:col>3</xdr:col>
                <xdr:colOff>251460</xdr:colOff>
                <xdr:row>14</xdr:row>
                <xdr:rowOff>60960</xdr:rowOff>
              </from>
              <to>
                <xdr:col>3</xdr:col>
                <xdr:colOff>411480</xdr:colOff>
                <xdr:row>14</xdr:row>
                <xdr:rowOff>243840</xdr:rowOff>
              </to>
            </anchor>
          </controlPr>
        </control>
      </mc:Choice>
      <mc:Fallback>
        <control shapeId="8201" r:id="rId20" name="CheckBox9"/>
      </mc:Fallback>
    </mc:AlternateContent>
    <mc:AlternateContent xmlns:mc="http://schemas.openxmlformats.org/markup-compatibility/2006">
      <mc:Choice Requires="x14">
        <control shapeId="8202" r:id="rId22" name="CheckBox10">
          <controlPr defaultSize="0" autoLine="0" linkedCell="X16" r:id="rId23">
            <anchor moveWithCells="1">
              <from>
                <xdr:col>3</xdr:col>
                <xdr:colOff>251460</xdr:colOff>
                <xdr:row>14</xdr:row>
                <xdr:rowOff>289560</xdr:rowOff>
              </from>
              <to>
                <xdr:col>3</xdr:col>
                <xdr:colOff>411480</xdr:colOff>
                <xdr:row>15</xdr:row>
                <xdr:rowOff>114300</xdr:rowOff>
              </to>
            </anchor>
          </controlPr>
        </control>
      </mc:Choice>
      <mc:Fallback>
        <control shapeId="8202" r:id="rId22" name="CheckBox10"/>
      </mc:Fallback>
    </mc:AlternateContent>
    <mc:AlternateContent xmlns:mc="http://schemas.openxmlformats.org/markup-compatibility/2006">
      <mc:Choice Requires="x14">
        <control shapeId="8203" r:id="rId24" name="CheckBox11">
          <controlPr autoLine="0" linkedCell="X17" r:id="rId25">
            <anchor moveWithCells="1">
              <from>
                <xdr:col>3</xdr:col>
                <xdr:colOff>266700</xdr:colOff>
                <xdr:row>15</xdr:row>
                <xdr:rowOff>198120</xdr:rowOff>
              </from>
              <to>
                <xdr:col>3</xdr:col>
                <xdr:colOff>411480</xdr:colOff>
                <xdr:row>16</xdr:row>
                <xdr:rowOff>76200</xdr:rowOff>
              </to>
            </anchor>
          </controlPr>
        </control>
      </mc:Choice>
      <mc:Fallback>
        <control shapeId="8203" r:id="rId24" name="CheckBox11"/>
      </mc:Fallback>
    </mc:AlternateContent>
    <mc:AlternateContent xmlns:mc="http://schemas.openxmlformats.org/markup-compatibility/2006">
      <mc:Choice Requires="x14">
        <control shapeId="8204" r:id="rId26" name="CheckBox12">
          <controlPr autoLine="0" linkedCell="X18" r:id="rId27">
            <anchor moveWithCells="1">
              <from>
                <xdr:col>3</xdr:col>
                <xdr:colOff>236220</xdr:colOff>
                <xdr:row>16</xdr:row>
                <xdr:rowOff>137160</xdr:rowOff>
              </from>
              <to>
                <xdr:col>3</xdr:col>
                <xdr:colOff>403860</xdr:colOff>
                <xdr:row>16</xdr:row>
                <xdr:rowOff>342900</xdr:rowOff>
              </to>
            </anchor>
          </controlPr>
        </control>
      </mc:Choice>
      <mc:Fallback>
        <control shapeId="8204" r:id="rId26" name="CheckBox12"/>
      </mc:Fallback>
    </mc:AlternateContent>
    <mc:AlternateContent xmlns:mc="http://schemas.openxmlformats.org/markup-compatibility/2006">
      <mc:Choice Requires="x14">
        <control shapeId="8205" r:id="rId28" name="CheckBox14">
          <controlPr defaultSize="0" autoLine="0" linkedCell="X19" r:id="rId29">
            <anchor moveWithCells="1">
              <from>
                <xdr:col>3</xdr:col>
                <xdr:colOff>266700</xdr:colOff>
                <xdr:row>16</xdr:row>
                <xdr:rowOff>1112520</xdr:rowOff>
              </from>
              <to>
                <xdr:col>3</xdr:col>
                <xdr:colOff>411480</xdr:colOff>
                <xdr:row>16</xdr:row>
                <xdr:rowOff>1264920</xdr:rowOff>
              </to>
            </anchor>
          </controlPr>
        </control>
      </mc:Choice>
      <mc:Fallback>
        <control shapeId="8205" r:id="rId28" name="CheckBox14"/>
      </mc:Fallback>
    </mc:AlternateContent>
    <mc:AlternateContent xmlns:mc="http://schemas.openxmlformats.org/markup-compatibility/2006">
      <mc:Choice Requires="x14">
        <control shapeId="8206" r:id="rId30" name="CheckBox15">
          <controlPr defaultSize="0" autoLine="0" linkedCell="X21" r:id="rId31">
            <anchor moveWithCells="1">
              <from>
                <xdr:col>6</xdr:col>
                <xdr:colOff>655320</xdr:colOff>
                <xdr:row>13</xdr:row>
                <xdr:rowOff>259080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8206" r:id="rId30" name="CheckBox15"/>
      </mc:Fallback>
    </mc:AlternateContent>
    <mc:AlternateContent xmlns:mc="http://schemas.openxmlformats.org/markup-compatibility/2006">
      <mc:Choice Requires="x14">
        <control shapeId="8207" r:id="rId32" name="CheckBox16">
          <controlPr defaultSize="0" autoLine="0" r:id="rId33">
            <anchor moveWithCells="1">
              <from>
                <xdr:col>3</xdr:col>
                <xdr:colOff>259080</xdr:colOff>
                <xdr:row>16</xdr:row>
                <xdr:rowOff>685800</xdr:rowOff>
              </from>
              <to>
                <xdr:col>3</xdr:col>
                <xdr:colOff>411480</xdr:colOff>
                <xdr:row>16</xdr:row>
                <xdr:rowOff>807720</xdr:rowOff>
              </to>
            </anchor>
          </controlPr>
        </control>
      </mc:Choice>
      <mc:Fallback>
        <control shapeId="8207" r:id="rId32" name="CheckBox16"/>
      </mc:Fallback>
    </mc:AlternateContent>
    <mc:AlternateContent xmlns:mc="http://schemas.openxmlformats.org/markup-compatibility/2006">
      <mc:Choice Requires="x14">
        <control shapeId="8208" r:id="rId34" name="CheckBox17">
          <controlPr defaultSize="0" autoLine="0" r:id="rId35">
            <anchor moveWithCells="1">
              <from>
                <xdr:col>3</xdr:col>
                <xdr:colOff>236220</xdr:colOff>
                <xdr:row>16</xdr:row>
                <xdr:rowOff>403860</xdr:rowOff>
              </from>
              <to>
                <xdr:col>3</xdr:col>
                <xdr:colOff>403860</xdr:colOff>
                <xdr:row>16</xdr:row>
                <xdr:rowOff>586740</xdr:rowOff>
              </to>
            </anchor>
          </controlPr>
        </control>
      </mc:Choice>
      <mc:Fallback>
        <control shapeId="8208" r:id="rId34" name="CheckBox17"/>
      </mc:Fallback>
    </mc:AlternateContent>
    <mc:AlternateContent xmlns:mc="http://schemas.openxmlformats.org/markup-compatibility/2006">
      <mc:Choice Requires="x14">
        <control shapeId="8209" r:id="rId36" name="CheckBox18">
          <controlPr defaultSize="0" autoLine="0" r:id="rId37">
            <anchor moveWithCells="1">
              <from>
                <xdr:col>3</xdr:col>
                <xdr:colOff>213360</xdr:colOff>
                <xdr:row>16</xdr:row>
                <xdr:rowOff>899160</xdr:rowOff>
              </from>
              <to>
                <xdr:col>3</xdr:col>
                <xdr:colOff>411480</xdr:colOff>
                <xdr:row>16</xdr:row>
                <xdr:rowOff>1089660</xdr:rowOff>
              </to>
            </anchor>
          </controlPr>
        </control>
      </mc:Choice>
      <mc:Fallback>
        <control shapeId="8209" r:id="rId36" name="CheckBox18"/>
      </mc:Fallback>
    </mc:AlternateContent>
    <mc:AlternateContent xmlns:mc="http://schemas.openxmlformats.org/markup-compatibility/2006">
      <mc:Choice Requires="x14">
        <control shapeId="8210" r:id="rId38" name="CheckBox19">
          <controlPr defaultSize="0" autoLine="0" linkedCell="X22" r:id="rId39">
            <anchor moveWithCells="1">
              <from>
                <xdr:col>6</xdr:col>
                <xdr:colOff>655320</xdr:colOff>
                <xdr:row>16</xdr:row>
                <xdr:rowOff>144780</xdr:rowOff>
              </from>
              <to>
                <xdr:col>6</xdr:col>
                <xdr:colOff>815340</xdr:colOff>
                <xdr:row>16</xdr:row>
                <xdr:rowOff>342900</xdr:rowOff>
              </to>
            </anchor>
          </controlPr>
        </control>
      </mc:Choice>
      <mc:Fallback>
        <control shapeId="8210" r:id="rId38" name="CheckBox1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REM-40205-777-381</vt:lpstr>
      <vt:lpstr>'REM-40205-777-381'!Print_Area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javan</cp:lastModifiedBy>
  <cp:lastPrinted>2023-01-17T06:50:05Z</cp:lastPrinted>
  <dcterms:created xsi:type="dcterms:W3CDTF">2017-10-03T08:00:51Z</dcterms:created>
  <dcterms:modified xsi:type="dcterms:W3CDTF">2023-09-02T11:51:14Z</dcterms:modified>
</cp:coreProperties>
</file>